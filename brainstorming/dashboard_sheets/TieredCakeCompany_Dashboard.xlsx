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 hh:mm"/>
    <numFmt numFmtId="165" formatCode="₹#,##0.00"/>
    <numFmt numFmtId="166" formatCode="0.0"/>
    <numFmt numFmtId="167" formatCode="dd-mmm-yyyy"/>
    <numFmt numFmtId="168" formatCode="yyyy-mm-dd"/>
  </numFmts>
  <fonts count="32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color rgb="00000000"/>
      <sz val="10"/>
    </font>
    <font>
      <b val="1"/>
      <color rgb="00FFFFFF"/>
      <sz val="13"/>
    </font>
    <font>
      <color rgb="001A2E26"/>
      <sz val="10"/>
    </font>
    <font>
      <b val="1"/>
      <color rgb="00CC2200"/>
      <sz val="11"/>
    </font>
    <font>
      <color rgb="00333333"/>
      <sz val="10"/>
    </font>
    <font>
      <color rgb="00006600"/>
      <sz val="10"/>
    </font>
    <font>
      <b val="1"/>
      <color rgb="00CC2200"/>
      <sz val="10"/>
    </font>
    <font>
      <b val="1"/>
      <color rgb="001A2E26"/>
      <sz val="11"/>
    </font>
    <font>
      <b val="1"/>
      <color rgb="001A2E26"/>
      <sz val="10"/>
    </font>
    <font>
      <color rgb="00444444"/>
      <sz val="9"/>
    </font>
    <font>
      <color rgb="00888888"/>
      <sz val="9"/>
    </font>
    <font>
      <color rgb="00AAAAAA"/>
      <sz val="8"/>
    </font>
    <font>
      <b val="1"/>
      <color rgb="00FFFFFF"/>
      <sz val="18"/>
    </font>
    <font>
      <i val="1"/>
      <color rgb="00666666"/>
      <sz val="9"/>
    </font>
    <font>
      <b val="1"/>
      <color rgb="00FFFFFF"/>
      <sz val="12"/>
    </font>
    <font>
      <b val="1"/>
      <color rgb="00FFFF99"/>
      <sz val="10"/>
    </font>
    <font>
      <b val="1"/>
      <color rgb="00FFFFFF"/>
      <sz val="9"/>
    </font>
    <font>
      <color rgb="001A2E26"/>
      <sz val="9"/>
    </font>
    <font>
      <b val="1"/>
      <color rgb="002D4A3E"/>
      <sz val="10"/>
    </font>
    <font>
      <b val="1"/>
      <color rgb="00FFFFFF"/>
      <sz val="10"/>
    </font>
    <font>
      <color rgb="002D4A3E"/>
      <sz val="9"/>
    </font>
    <font>
      <i val="1"/>
      <color rgb="00666666"/>
      <sz val="8"/>
    </font>
    <font>
      <i val="1"/>
      <color rgb="00CC5500"/>
      <sz val="9"/>
    </font>
    <font>
      <b val="1"/>
      <color rgb="002D4A3E"/>
      <sz val="9"/>
    </font>
    <font>
      <i val="1"/>
      <color rgb="00888888"/>
      <sz val="8"/>
    </font>
    <font>
      <color rgb="00000000"/>
      <sz val="9"/>
    </font>
    <font>
      <sz val="9"/>
    </font>
    <font>
      <color rgb="00444444"/>
      <sz val="8"/>
    </font>
    <font>
      <i val="1"/>
      <color rgb="00AAAAAA"/>
      <sz val="8"/>
    </font>
  </fonts>
  <fills count="8">
    <fill>
      <patternFill/>
    </fill>
    <fill>
      <patternFill patternType="gray125"/>
    </fill>
    <fill>
      <patternFill patternType="solid">
        <fgColor rgb="001A2E26"/>
      </patternFill>
    </fill>
    <fill>
      <patternFill patternType="solid">
        <fgColor rgb="002D4A3E"/>
      </patternFill>
    </fill>
    <fill>
      <patternFill patternType="solid">
        <fgColor rgb="00F0F5F3"/>
      </patternFill>
    </fill>
    <fill>
      <patternFill patternType="solid">
        <fgColor rgb="00FFF8E7"/>
      </patternFill>
    </fill>
    <fill>
      <patternFill patternType="solid">
        <fgColor rgb="004A7C6F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1" fillId="4" borderId="0" applyAlignment="1" pivotButton="0" quotePrefix="0" xfId="0">
      <alignment vertical="top" wrapText="1"/>
    </xf>
    <xf numFmtId="0" fontId="12" fillId="4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4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6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164" fontId="16" fillId="5" borderId="0" pivotButton="0" quotePrefix="0" xfId="0"/>
    <xf numFmtId="0" fontId="0" fillId="5" borderId="0" pivotButton="0" quotePrefix="0" xfId="0"/>
    <xf numFmtId="0" fontId="17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right" vertical="center"/>
    </xf>
    <xf numFmtId="0" fontId="19" fillId="6" borderId="0" applyAlignment="1" pivotButton="0" quotePrefix="0" xfId="0">
      <alignment horizontal="center" vertical="center"/>
    </xf>
    <xf numFmtId="0" fontId="20" fillId="0" borderId="0" applyAlignment="1" pivotButton="0" quotePrefix="0" xfId="0">
      <alignment/>
    </xf>
    <xf numFmtId="0" fontId="0" fillId="4" borderId="0" pivotButton="0" quotePrefix="0" xfId="0"/>
    <xf numFmtId="0" fontId="21" fillId="4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22" fillId="6" borderId="0" applyAlignment="1" pivotButton="0" quotePrefix="0" xfId="0">
      <alignment horizontal="left" vertical="center"/>
    </xf>
    <xf numFmtId="165" fontId="10" fillId="6" borderId="0" pivotButton="0" quotePrefix="0" xfId="0"/>
    <xf numFmtId="0" fontId="20" fillId="4" borderId="0" pivotButton="0" quotePrefix="0" xfId="0"/>
    <xf numFmtId="0" fontId="20" fillId="0" borderId="0" pivotButton="0" quotePrefix="0" xfId="0"/>
    <xf numFmtId="0" fontId="3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left" vertical="center"/>
    </xf>
    <xf numFmtId="0" fontId="23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left" vertical="center"/>
    </xf>
    <xf numFmtId="0" fontId="25" fillId="5" borderId="0" applyAlignment="1" pivotButton="0" quotePrefix="0" xfId="0">
      <alignment horizontal="left" vertical="center"/>
    </xf>
    <xf numFmtId="0" fontId="19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20" fillId="0" borderId="0" applyAlignment="1" pivotButton="0" quotePrefix="0" xfId="0">
      <alignment horizontal="left" vertical="top" wrapText="1"/>
    </xf>
    <xf numFmtId="1" fontId="3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left" vertical="center"/>
    </xf>
    <xf numFmtId="0" fontId="27" fillId="5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/>
    </xf>
    <xf numFmtId="0" fontId="28" fillId="4" borderId="0" applyAlignment="1" pivotButton="0" quotePrefix="0" xfId="0">
      <alignment horizontal="left" vertical="center"/>
    </xf>
    <xf numFmtId="167" fontId="29" fillId="4" borderId="0" applyAlignment="1" pivotButton="0" quotePrefix="0" xfId="0">
      <alignment horizontal="center"/>
    </xf>
    <xf numFmtId="0" fontId="30" fillId="4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167" fontId="29" fillId="0" borderId="0" applyAlignment="1" pivotButton="0" quotePrefix="0" xfId="0">
      <alignment horizontal="center"/>
    </xf>
    <xf numFmtId="0" fontId="30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Tiered Cake Company — Dashboard (Phase 4)</t>
        </is>
      </c>
    </row>
    <row r="2" ht="17" customHeight="1">
      <c r="A2" s="2" t="inlineStr">
        <is>
          <t>READ-ONLY. Open every morning. The morning_digest.gs email is the phone-equivalent.</t>
        </is>
      </c>
    </row>
    <row r="3" ht="16" customHeight="1">
      <c r="A3" s="3" t="inlineStr"/>
    </row>
    <row r="4" ht="19" customHeight="1">
      <c r="A4" s="4" t="inlineStr">
        <is>
          <t>CRITICAL SETUP (do once after importing to Google Sheets)</t>
        </is>
      </c>
    </row>
    <row r="5" ht="16" customHeight="1">
      <c r="A5" s="3" t="inlineStr"/>
    </row>
    <row r="6" ht="16" customHeight="1">
      <c r="A6" s="5" t="inlineStr">
        <is>
          <t>Step 0: Import the xlsx file to Google Drive &gt; Google Sheets. Rename the file to '00_Dashboard'.</t>
        </is>
      </c>
    </row>
    <row r="7" ht="16" customHeight="1">
      <c r="A7" s="3" t="inlineStr"/>
    </row>
    <row r="8" ht="17" customHeight="1">
      <c r="A8" s="6" t="inlineStr">
        <is>
          <t>Step 1 (CRITICAL): Replace placeholder IDs in the Dashboard tab.</t>
        </is>
      </c>
    </row>
    <row r="9" ht="16" customHeight="1">
      <c r="A9" s="7" t="inlineStr">
        <is>
          <t xml:space="preserve">  Each IMPORTRANGE formula uses a file ID like 'CRM_SPREADSHEET_ID_PLACEHOLDER'.</t>
        </is>
      </c>
    </row>
    <row r="10" ht="16" customHeight="1">
      <c r="A10" s="7" t="inlineStr">
        <is>
          <t xml:space="preserve">  To find a sheet's ID: open the sheet in browser, copy the long string between /d/ and /edit in the URL.</t>
        </is>
      </c>
    </row>
    <row r="11" ht="16" customHeight="1">
      <c r="A11" s="7" t="inlineStr">
        <is>
          <t xml:space="preserve">  Replace ALL occurrences of each placeholder:</t>
        </is>
      </c>
    </row>
    <row r="12" ht="16" customHeight="1">
      <c r="A12" s="8" t="inlineStr">
        <is>
          <t xml:space="preserve">    CRM_SPREADSHEET_ID_PLACEHOLDER  →  ID of your CRM Google Sheet</t>
        </is>
      </c>
    </row>
    <row r="13" ht="16" customHeight="1">
      <c r="A13" s="8" t="inlineStr">
        <is>
          <t xml:space="preserve">    OPS_SPREADSHEET_ID_PLACEHOLDER  →  ID of your Operations Google Sheet</t>
        </is>
      </c>
    </row>
    <row r="14" ht="16" customHeight="1">
      <c r="A14" s="8" t="inlineStr">
        <is>
          <t xml:space="preserve">    FIN_SPREADSHEET_ID_PLACEHOLDER  →  ID of your Finance Google Sheet</t>
        </is>
      </c>
    </row>
    <row r="15" ht="16" customHeight="1">
      <c r="A15" s="8" t="inlineStr">
        <is>
          <t xml:space="preserve">    MKT_SPREADSHEET_ID_PLACEHOLDER  →  ID of your Marketing Google Sheet</t>
        </is>
      </c>
    </row>
    <row r="16" ht="16" customHeight="1">
      <c r="A16" s="7" t="inlineStr">
        <is>
          <t xml:space="preserve">  Also replace the Open-link URLs at the top of each panel (gid= values = tab IDs).</t>
        </is>
      </c>
    </row>
    <row r="17" ht="16" customHeight="1">
      <c r="A17" s="7" t="inlineStr">
        <is>
          <t xml:space="preserve">  To find a tab's gid: click the tab in Google Sheets; copy gid=XXXX from the URL bar.</t>
        </is>
      </c>
    </row>
    <row r="18" ht="16" customHeight="1">
      <c r="A18" s="9" t="inlineStr">
        <is>
          <t xml:space="preserve">  WITHOUT this step, every panel shows #REF!  Do NOT skip.</t>
        </is>
      </c>
    </row>
    <row r="19" ht="16" customHeight="1">
      <c r="A19" s="3" t="inlineStr"/>
    </row>
    <row r="20" ht="17" customHeight="1">
      <c r="A20" s="10" t="inlineStr">
        <is>
          <t>Step 2: Authorise IMPORTRANGE (4 pairs).</t>
        </is>
      </c>
    </row>
    <row r="21" ht="16" customHeight="1">
      <c r="A21" s="11" t="inlineStr">
        <is>
          <t xml:space="preserve">  Click the first #REF! cell in each panel. A pop-up 'Allow access' appears. Click it.</t>
        </is>
      </c>
    </row>
    <row r="22" ht="16" customHeight="1">
      <c r="A22" s="11" t="inlineStr">
        <is>
          <t xml:space="preserve">  Repeat for CRM, Finance, Operations, Marketing (4 separate authorisations).</t>
        </is>
      </c>
    </row>
    <row r="23" ht="16" customHeight="1">
      <c r="A23" s="11" t="inlineStr">
        <is>
          <t xml:space="preserve">  You only need to authorise once per source-sheet pair. After that, all IMPORTRANGE from that sheet resolve.</t>
        </is>
      </c>
    </row>
    <row r="24" ht="16" customHeight="1">
      <c r="A24" s="3" t="inlineStr"/>
    </row>
    <row r="25" ht="17" customHeight="1">
      <c r="A25" s="10" t="inlineStr">
        <is>
          <t>Step 3: Install Apps Scripts (Phase 4b, separate step).</t>
        </is>
      </c>
    </row>
    <row r="26" ht="16" customHeight="1">
      <c r="A26" s="11" t="inlineStr">
        <is>
          <t xml:space="preserve">  morning_digest.gs  —  daily email summary sent at 7 AM (Extensions &gt; Apps Script).</t>
        </is>
      </c>
    </row>
    <row r="27" ht="16" customHeight="1">
      <c r="A27" s="11" t="inlineStr">
        <is>
          <t xml:space="preserve">  festival_pre_block.gs  —  runs from CRM sheet; auto-blocks capacity 21 days before each festival.</t>
        </is>
      </c>
    </row>
    <row r="28" ht="16" customHeight="1">
      <c r="A28" s="11" t="inlineStr">
        <is>
          <t xml:space="preserve">  See apps_script/ folder for source files (Phase 4b).</t>
        </is>
      </c>
    </row>
    <row r="29" ht="16" customHeight="1">
      <c r="A29" s="3" t="inlineStr"/>
    </row>
    <row r="30" ht="17" customHeight="1">
      <c r="A30" s="10" t="inlineStr">
        <is>
          <t>Step 4: Daily use.</t>
        </is>
      </c>
    </row>
    <row r="31" ht="16" customHeight="1">
      <c r="A31" s="11" t="inlineStr">
        <is>
          <t xml:space="preserve">  Bookmark the Dashboard URL. Open every morning.</t>
        </is>
      </c>
    </row>
    <row r="32" ht="16" customHeight="1">
      <c r="A32" s="11" t="inlineStr">
        <is>
          <t xml:space="preserve">  Check Panel 6 (Action queue) first — non-zero counts need same-day attention.</t>
        </is>
      </c>
    </row>
    <row r="33" ht="16" customHeight="1">
      <c r="A33" s="11" t="inlineStr">
        <is>
          <t xml:space="preserve">  OR: read the morning digest email (Phase 4b) on your phone.</t>
        </is>
      </c>
    </row>
    <row r="34" ht="16" customHeight="1">
      <c r="A34" s="3" t="inlineStr"/>
    </row>
    <row r="35" ht="19" customHeight="1">
      <c r="A35" s="4" t="inlineStr">
        <is>
          <t>THE 7 PANELS</t>
        </is>
      </c>
    </row>
    <row r="36" ht="16" customHeight="1">
      <c r="A36" s="3" t="inlineStr"/>
    </row>
    <row r="37" ht="16" customHeight="1">
      <c r="A37" s="12" t="inlineStr">
        <is>
          <t>Panel 1 — This week: orders due (next 7 days)</t>
        </is>
      </c>
    </row>
    <row r="38" ht="15" customHeight="1">
      <c r="A38" s="13" t="inlineStr">
        <is>
          <t xml:space="preserve">  QUERY+IMPORTRANGE from CRM → Orders. Shows all deliveries in the next 7 days.</t>
        </is>
      </c>
    </row>
    <row r="39" ht="16" customHeight="1">
      <c r="A39" s="14" t="inlineStr">
        <is>
          <t>Panel 2 — Cash position</t>
        </is>
      </c>
    </row>
    <row r="40" ht="15" customHeight="1">
      <c r="A40" s="15" t="inlineStr">
        <is>
          <t xml:space="preserve">  Bank balance, UPI float, cash drawer (from Finance → Bank vs UPI Float). TOTAL + UPI unmatched alert.</t>
        </is>
      </c>
    </row>
    <row r="41" ht="16" customHeight="1">
      <c r="A41" s="12" t="inlineStr">
        <is>
          <t>Panel 3 — Top customers by lifetime value</t>
        </is>
      </c>
    </row>
    <row r="42" ht="15" customHeight="1">
      <c r="A42" s="13" t="inlineStr">
        <is>
          <t xml:space="preserve">  Top 5 customers from CRM → Customers, ordered by lifetime spend.</t>
        </is>
      </c>
    </row>
    <row r="43" ht="16" customHeight="1">
      <c r="A43" s="14" t="inlineStr">
        <is>
          <t>Panel 4 — Production load next 14 days</t>
        </is>
      </c>
    </row>
    <row r="44" ht="15" customHeight="1">
      <c r="A44" s="15" t="inlineStr">
        <is>
          <t xml:space="preserve">  Cake / cupcake / bomboloni booked vs capacity from CRM → Capacity Calendar.</t>
        </is>
      </c>
    </row>
    <row r="45" ht="16" customHeight="1">
      <c r="A45" s="12" t="inlineStr">
        <is>
          <t>Panel 5 — Marketing health</t>
        </is>
      </c>
    </row>
    <row r="46" ht="15" customHeight="1">
      <c r="A46" s="13" t="inlineStr">
        <is>
          <t xml:space="preserve">  Posts this week, new reviews, average rating from Marketing → Content Calendar + Reviews Tracker.</t>
        </is>
      </c>
    </row>
    <row r="47" ht="16" customHeight="1">
      <c r="A47" s="14" t="inlineStr">
        <is>
          <t>Panel 6 — Action queue</t>
        </is>
      </c>
    </row>
    <row r="48" ht="15" customHeight="1">
      <c r="A48" s="15" t="inlineStr">
        <is>
          <t xml:space="preserve">  Five auto-counted alerts: compliance renewals, missing deposits, unacknowledged deliveries,</t>
        </is>
      </c>
    </row>
    <row r="49" ht="15" customHeight="1">
      <c r="A49" s="15" t="inlineStr">
        <is>
          <t xml:space="preserve">  ingredients below PAR, draft posts due in 24 h.</t>
        </is>
      </c>
    </row>
    <row r="50" ht="16" customHeight="1">
      <c r="A50" s="12" t="inlineStr">
        <is>
          <t>Panel 7 — Festival cash cycle</t>
        </is>
      </c>
    </row>
    <row r="51" ht="15" customHeight="1">
      <c r="A51" s="13" t="inlineStr">
        <is>
          <t xml:space="preserve">  Static Hyderabad festival table (rows 72-78, cols D-F) + smart FILTER/MATCH formulas for</t>
        </is>
      </c>
    </row>
    <row r="52" ht="15" customHeight="1">
      <c r="A52" s="13" t="inlineStr">
        <is>
          <t xml:space="preserve">  next upcoming festival, days until, suggested pre-buy date (21 days prior).</t>
        </is>
      </c>
    </row>
    <row r="53" ht="15" customHeight="1">
      <c r="A53" s="16" t="inlineStr">
        <is>
          <t xml:space="preserve">  Update dates annually. MATCH/FILTER formulas may need Ctrl+Shift+Enter in legacy Sheets.</t>
        </is>
      </c>
    </row>
    <row r="54" ht="16" customHeight="1">
      <c r="A54" s="3" t="inlineStr"/>
    </row>
    <row r="55" ht="15" customHeight="1">
      <c r="A55" s="17" t="inlineStr">
        <is>
          <t>Generated by build_xlsx.py (Phase 4a) — openpyxl 3.1.5  |  Tiered Cake Company, Hyderabad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28" customWidth="1" min="8" max="8"/>
  </cols>
  <sheetData>
    <row r="1" ht="36" customHeight="1">
      <c r="A1" s="18" t="inlineStr">
        <is>
          <t>Tiered Cake Company — Dashboard</t>
        </is>
      </c>
      <c r="B1" s="19" t="n"/>
      <c r="C1" s="19" t="n"/>
      <c r="D1" s="19" t="n"/>
      <c r="E1" s="19" t="n"/>
      <c r="F1" s="19" t="n"/>
      <c r="G1" s="19" t="n"/>
      <c r="H1" s="19" t="n"/>
    </row>
    <row r="2" ht="16" customHeight="1">
      <c r="A2" s="20" t="inlineStr">
        <is>
          <t>READ-ONLY  —  Data pulls live from CRM, Finance, Operations, Marketing via IMPORTRANGE. Last refreshed:</t>
        </is>
      </c>
      <c r="B2" s="21" t="n"/>
      <c r="C2" s="21" t="n"/>
      <c r="D2" s="21" t="n"/>
      <c r="E2" s="21" t="n"/>
      <c r="F2" s="21" t="n"/>
      <c r="G2" s="22">
        <f>NOW()</f>
        <v/>
      </c>
      <c r="H2" s="23" t="n"/>
    </row>
    <row r="3" ht="6" customHeight="1"/>
    <row r="4" ht="20" customHeight="1">
      <c r="A4" s="24" t="inlineStr">
        <is>
          <t>Panel 1 — This week: orders due (next 7 days)</t>
        </is>
      </c>
      <c r="H4" s="25">
        <f>HYPERLINK("https://docs.google.com/spreadsheets/d/CRM_ID/edit#gid=ORDERS_TAB_GID","Open Orders →")</f>
        <v/>
      </c>
    </row>
    <row r="5">
      <c r="A5" s="26" t="inlineStr">
        <is>
          <t>Order ID</t>
        </is>
      </c>
      <c r="B5" s="26" t="inlineStr">
        <is>
          <t>Customer Name</t>
        </is>
      </c>
      <c r="C5" s="26" t="inlineStr">
        <is>
          <t>Cake Type</t>
        </is>
      </c>
      <c r="D5" s="26" t="inlineStr">
        <is>
          <t>Delivery Date</t>
        </is>
      </c>
      <c r="E5" s="26" t="inlineStr">
        <is>
          <t>Qty</t>
        </is>
      </c>
      <c r="F5" s="26" t="inlineStr">
        <is>
          <t>Amount (₹)</t>
        </is>
      </c>
      <c r="G5" s="26" t="inlineStr">
        <is>
          <t>Deposit Paid?</t>
        </is>
      </c>
      <c r="H5" s="26" t="inlineStr">
        <is>
          <t>Status</t>
        </is>
      </c>
    </row>
    <row r="6">
      <c r="A6" s="27">
        <f>IFERROR(QUERY(IMPORTRANGE("CRM_SPREADSHEET_ID_PLACEHOLDER","Orders!A:J"),"select Col1,Col2,Col3,Col4,Col5,Col6,Col7,Col8 where Col4 &gt;= date '"&amp;TEXT(TODAY(),"yyyy-mm-dd")&amp;"' and Col4 &lt;= date '"&amp;TEXT(TODAY()+7,"yyyy-mm-dd")&amp;"' and Col1 &lt;&gt; 'Order ID' order by Col4 asc label Col1 '',Col2 '',Col3 '',Col4 '',Col5 '',Col6 '',Col7 '',Col8 ''",1),"(no orders this week)")</f>
        <v/>
      </c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/>
    <row r="9">
      <c r="A9" s="28" t="n"/>
      <c r="B9" s="28" t="n"/>
      <c r="C9" s="28" t="n"/>
      <c r="D9" s="28" t="n"/>
      <c r="E9" s="28" t="n"/>
      <c r="F9" s="28" t="n"/>
      <c r="G9" s="28" t="n"/>
      <c r="H9" s="28" t="n"/>
    </row>
    <row r="10"/>
    <row r="11">
      <c r="A11" s="28" t="n"/>
      <c r="B11" s="28" t="n"/>
      <c r="C11" s="28" t="n"/>
      <c r="D11" s="28" t="n"/>
      <c r="E11" s="28" t="n"/>
      <c r="F11" s="28" t="n"/>
      <c r="G11" s="28" t="n"/>
      <c r="H11" s="28" t="n"/>
    </row>
    <row r="12"/>
    <row r="13">
      <c r="A13" s="28" t="n"/>
      <c r="B13" s="28" t="n"/>
      <c r="C13" s="28" t="n"/>
      <c r="D13" s="28" t="n"/>
      <c r="E13" s="28" t="n"/>
      <c r="F13" s="28" t="n"/>
      <c r="G13" s="28" t="n"/>
      <c r="H13" s="28" t="n"/>
    </row>
    <row r="14"/>
    <row r="15" ht="6" customHeight="1"/>
    <row r="16" ht="20" customHeight="1">
      <c r="A16" s="24" t="inlineStr">
        <is>
          <t>Panel 2 — Cash position</t>
        </is>
      </c>
      <c r="H16" s="25">
        <f>HYPERLINK("https://docs.google.com/spreadsheets/d/FIN_ID/edit#gid=BANK_TAB_GID","Open Finance → Bank vs UPI Float →")</f>
        <v/>
      </c>
    </row>
    <row r="17">
      <c r="A17" s="29" t="inlineStr">
        <is>
          <t>Bank balance (₹)</t>
        </is>
      </c>
      <c r="B17" s="30">
        <f>IFERROR(INDEX(IMPORTRANGE("FIN_SPREADSHEET_ID_PLACEHOLDER","Bank vs UPI Float!F:F"),2),0)</f>
        <v/>
      </c>
    </row>
    <row r="18">
      <c r="A18" s="29" t="inlineStr">
        <is>
          <t>UPI float (₹)</t>
        </is>
      </c>
      <c r="B18" s="30">
        <f>IFERROR(INDEX(IMPORTRANGE("FIN_SPREADSHEET_ID_PLACEHOLDER","Bank vs UPI Float!G:G"),2),0)</f>
        <v/>
      </c>
    </row>
    <row r="19">
      <c r="A19" s="29" t="inlineStr">
        <is>
          <t>Cash drawer (₹)</t>
        </is>
      </c>
      <c r="B19" s="30">
        <f>IFERROR(INDEX(IMPORTRANGE("FIN_SPREADSHEET_ID_PLACEHOLDER","Bank vs UPI Float!H:H"),2),0)</f>
        <v/>
      </c>
    </row>
    <row r="20">
      <c r="A20" s="31" t="inlineStr">
        <is>
          <t>TOTAL CASH (₹)</t>
        </is>
      </c>
      <c r="B20" s="32">
        <f>SUM(B17:B19)</f>
        <v/>
      </c>
    </row>
    <row r="21">
      <c r="A21" s="29" t="inlineStr">
        <is>
          <t>UPI unmatched (₹) ⚠️</t>
        </is>
      </c>
      <c r="B21" s="30">
        <f>IFERROR(IMPORTRANGE("FIN_SPREADSHEET_ID_PLACEHOLDER","UPI Reconciliation!B48"),0)</f>
        <v/>
      </c>
    </row>
    <row r="22" ht="6" customHeight="1"/>
    <row r="23" ht="20" customHeight="1">
      <c r="A23" s="24" t="inlineStr">
        <is>
          <t>Panel 3 — Top customers (by lifetime value)</t>
        </is>
      </c>
      <c r="H23" s="25">
        <f>HYPERLINK("https://docs.google.com/spreadsheets/d/CRM_ID/edit#gid=CUS_TAB_GID","Open Customers →")</f>
        <v/>
      </c>
    </row>
    <row r="24">
      <c r="A24" s="26" t="inlineStr">
        <is>
          <t>Customer Name</t>
        </is>
      </c>
      <c r="B24" s="26" t="inlineStr">
        <is>
          <t>Phone</t>
        </is>
      </c>
      <c r="C24" s="26" t="inlineStr">
        <is>
          <t>Total Orders</t>
        </is>
      </c>
      <c r="D24" s="26" t="inlineStr">
        <is>
          <t>Lifetime Value (₹)</t>
        </is>
      </c>
      <c r="E24" s="26" t="inlineStr">
        <is>
          <t>Last Order</t>
        </is>
      </c>
      <c r="F24" s="26" t="inlineStr">
        <is>
          <t>Preferred Type</t>
        </is>
      </c>
      <c r="G24" s="26" t="inlineStr">
        <is>
          <t>Notes</t>
        </is>
      </c>
      <c r="H24" s="26" t="inlineStr"/>
    </row>
    <row r="25">
      <c r="A25" s="33">
        <f>IFERROR(QUERY(IMPORTRANGE("CRM_SPREADSHEET_ID_PLACEHOLDER","Customers!A:G"),"select Col1,Col2,Col3,Col4,Col5,Col6,Col7 where Col1 &lt;&gt; 'Customer Name' order by Col4 desc limit 5 label Col1 '',Col2 '',Col3 '',Col4 '',Col5 '',Col6 '',Col7 ''",1),"(no customer data)")</f>
        <v/>
      </c>
      <c r="B25" s="28" t="n"/>
      <c r="C25" s="28" t="n"/>
      <c r="D25" s="28" t="n"/>
      <c r="E25" s="28" t="n"/>
      <c r="F25" s="28" t="n"/>
      <c r="G25" s="28" t="n"/>
      <c r="H25" s="28" t="n"/>
    </row>
    <row r="26"/>
    <row r="27">
      <c r="A27" s="28" t="n"/>
      <c r="B27" s="28" t="n"/>
      <c r="C27" s="28" t="n"/>
      <c r="D27" s="28" t="n"/>
      <c r="E27" s="28" t="n"/>
      <c r="F27" s="28" t="n"/>
      <c r="G27" s="28" t="n"/>
      <c r="H27" s="28" t="n"/>
    </row>
    <row r="28"/>
    <row r="29" ht="6" customHeight="1">
      <c r="A29" s="28" t="n"/>
      <c r="B29" s="28" t="n"/>
      <c r="C29" s="28" t="n"/>
      <c r="D29" s="28" t="n"/>
      <c r="E29" s="28" t="n"/>
      <c r="F29" s="28" t="n"/>
      <c r="G29" s="28" t="n"/>
      <c r="H29" s="28" t="n"/>
    </row>
    <row r="30" ht="20" customHeight="1">
      <c r="A30" s="24" t="inlineStr">
        <is>
          <t>Panel 4 — Production load — next 14 days</t>
        </is>
      </c>
      <c r="H30" s="25">
        <f>HYPERLINK("https://docs.google.com/spreadsheets/d/CRM_ID/edit#gid=CAP_TAB_GID","Open Capacity Calendar →")</f>
        <v/>
      </c>
    </row>
    <row r="31">
      <c r="A31" s="26" t="inlineStr">
        <is>
          <t>Date</t>
        </is>
      </c>
      <c r="B31" s="26" t="inlineStr">
        <is>
          <t>Cakes Booked</t>
        </is>
      </c>
      <c r="C31" s="26" t="inlineStr">
        <is>
          <t>Cake Capacity</t>
        </is>
      </c>
      <c r="D31" s="26" t="inlineStr">
        <is>
          <t>Cupcakes Booked</t>
        </is>
      </c>
      <c r="E31" s="26" t="inlineStr">
        <is>
          <t>Cup. Capacity</t>
        </is>
      </c>
      <c r="F31" s="26" t="inlineStr">
        <is>
          <t>Bomboloni Booked</t>
        </is>
      </c>
      <c r="G31" s="26" t="inlineStr">
        <is>
          <t>Bomb. Capacity</t>
        </is>
      </c>
      <c r="H31" s="26" t="inlineStr">
        <is>
          <t>% Load</t>
        </is>
      </c>
    </row>
    <row r="32">
      <c r="A32" s="34">
        <f>IFERROR(QUERY(IMPORTRANGE("CRM_SPREADSHEET_ID_PLACEHOLDER","Capacity Calendar!A:H"),"select Col1,Col2,Col3,Col4,Col5,Col6,Col7,Col8 where Col1 &gt;= date '"\&amp;TEXT(TODAY(),"yyyy-mm-dd")&amp;"' and Col1 &lt;= date '"\&amp;TEXT(TODAY()+14,"yyyy-mm-dd")&amp;"' and Col1 &lt;&gt; 'Date' order by Col1 asc label Col1 '',Col2 '',Col3 '',Col4 '',Col5 '',Col6 '',Col7 '',Col8 ''",1),"(no production data)")</f>
        <v/>
      </c>
    </row>
    <row r="33">
      <c r="A33" s="28" t="n"/>
      <c r="B33" s="28" t="n"/>
      <c r="C33" s="28" t="n"/>
      <c r="D33" s="28" t="n"/>
      <c r="E33" s="28" t="n"/>
      <c r="F33" s="28" t="n"/>
      <c r="G33" s="28" t="n"/>
      <c r="H33" s="28" t="n"/>
    </row>
    <row r="34"/>
    <row r="35">
      <c r="A35" s="28" t="n"/>
      <c r="B35" s="28" t="n"/>
      <c r="C35" s="28" t="n"/>
      <c r="D35" s="28" t="n"/>
      <c r="E35" s="28" t="n"/>
      <c r="F35" s="28" t="n"/>
      <c r="G35" s="28" t="n"/>
      <c r="H35" s="28" t="n"/>
    </row>
    <row r="36"/>
    <row r="37">
      <c r="A37" s="28" t="n"/>
      <c r="B37" s="28" t="n"/>
      <c r="C37" s="28" t="n"/>
      <c r="D37" s="28" t="n"/>
      <c r="E37" s="28" t="n"/>
      <c r="F37" s="28" t="n"/>
      <c r="G37" s="28" t="n"/>
      <c r="H37" s="28" t="n"/>
    </row>
    <row r="38"/>
    <row r="39">
      <c r="A39" s="28" t="n"/>
      <c r="B39" s="28" t="n"/>
      <c r="C39" s="28" t="n"/>
      <c r="D39" s="28" t="n"/>
      <c r="E39" s="28" t="n"/>
      <c r="F39" s="28" t="n"/>
      <c r="G39" s="28" t="n"/>
      <c r="H39" s="28" t="n"/>
    </row>
    <row r="40"/>
    <row r="41">
      <c r="A41" s="28" t="n"/>
      <c r="B41" s="28" t="n"/>
      <c r="C41" s="28" t="n"/>
      <c r="D41" s="28" t="n"/>
      <c r="E41" s="28" t="n"/>
      <c r="F41" s="28" t="n"/>
      <c r="G41" s="28" t="n"/>
      <c r="H41" s="28" t="n"/>
    </row>
    <row r="42"/>
    <row r="43">
      <c r="A43" s="28" t="n"/>
      <c r="B43" s="28" t="n"/>
      <c r="C43" s="28" t="n"/>
      <c r="D43" s="28" t="n"/>
      <c r="E43" s="28" t="n"/>
      <c r="F43" s="28" t="n"/>
      <c r="G43" s="28" t="n"/>
      <c r="H43" s="28" t="n"/>
    </row>
    <row r="44"/>
    <row r="45" ht="6" customHeight="1"/>
    <row r="46" ht="20" customHeight="1">
      <c r="A46" s="24" t="inlineStr">
        <is>
          <t>Panel 5 — Marketing health</t>
        </is>
      </c>
      <c r="H46" s="25">
        <f>HYPERLINK("https://docs.google.com/spreadsheets/d/MKT_ID/edit#gid=CC_TAB_GID","Open Content Calendar →")</f>
        <v/>
      </c>
    </row>
    <row r="47">
      <c r="A47" s="29" t="inlineStr">
        <is>
          <t>Posts this week (±7 days)</t>
        </is>
      </c>
      <c r="B47" s="35">
        <f>IFERROR(QUERY(IMPORTRANGE("MKT_SPREADSHEET_ID_PLACEHOLDER","Content Calendar!A:D"),"select count(Col1) where Col2 &gt;= date '"\&amp;TEXT(TODAY()-7,"yyyy-mm-dd")&amp;"' and Col2 &lt;= date '"\&amp;TEXT(TODAY()+7,"yyyy-mm-dd")&amp;"' label count(Col1) ''",1),0)</f>
        <v/>
      </c>
    </row>
    <row r="48">
      <c r="A48" s="29" t="inlineStr">
        <is>
          <t>New reviews this month</t>
        </is>
      </c>
      <c r="B48" s="35">
        <f>IFERROR(QUERY(IMPORTRANGE("MKT_SPREADSHEET_ID_PLACEHOLDER","Reviews Tracker!A:E"),"select count(Col1) where Col2 &gt;= date '"\&amp;TEXT(EOMONTH(TODAY(),-1)+1,"yyyy-mm-dd")&amp;"' label count(Col1) ''",1),0)</f>
        <v/>
      </c>
    </row>
    <row r="49">
      <c r="A49" s="29" t="inlineStr">
        <is>
          <t>Average rating (this month)</t>
        </is>
      </c>
      <c r="B49" s="36">
        <f>IFERROR(QUERY(IMPORTRANGE("MKT_SPREADSHEET_ID_PLACEHOLDER","Reviews Tracker!A:E"),"select avg(Col3) where Col2 &gt;= date '"\&amp;TEXT(EOMONTH(TODAY(),-1)+1,"yyyy-mm-dd")&amp;"' label avg(Col3) ''",1),0)</f>
        <v/>
      </c>
    </row>
    <row r="50" ht="6" customHeight="1"/>
    <row r="51" ht="20" customHeight="1">
      <c r="A51" s="24" t="inlineStr">
        <is>
          <t>Panel 6 — Action queue (items needing attention)</t>
        </is>
      </c>
      <c r="H51" s="25">
        <f>HYPERLINK("https://docs.google.com/spreadsheets/d/FIN_ID/edit#gid=COMP_TAB_GID","Open Finance → Compliance →")</f>
        <v/>
      </c>
    </row>
    <row r="52">
      <c r="A52" s="26" t="inlineStr">
        <is>
          <t>Action item</t>
        </is>
      </c>
      <c r="B52" s="26" t="inlineStr">
        <is>
          <t>Count</t>
        </is>
      </c>
      <c r="C52" s="26" t="inlineStr">
        <is>
          <t>Source</t>
        </is>
      </c>
      <c r="D52" s="26" t="inlineStr"/>
      <c r="E52" s="26" t="inlineStr"/>
      <c r="F52" s="26" t="inlineStr"/>
      <c r="G52" s="26" t="inlineStr"/>
      <c r="H52" s="26" t="inlineStr"/>
    </row>
    <row r="53">
      <c r="A53" s="37" t="inlineStr">
        <is>
          <t>Compliance items due for renewal</t>
        </is>
      </c>
      <c r="B53" s="38">
        <f>IFERROR(QUERY(IMPORTRANGE("FIN_SPREADSHEET_ID_PLACEHOLDER","Compliance Tracker!A:F"),"select count(Col1) where Col5 &lt;= date '"\&amp;TEXT(TODAY()+30,"yyyy-mm-dd")&amp;"' and Col6 &lt;&gt; 'Renewed' label count(Col1) ''",1),0)</f>
        <v/>
      </c>
      <c r="C53" s="39" t="inlineStr">
        <is>
          <t>Finance → Compliance Tracker</t>
        </is>
      </c>
    </row>
    <row r="54">
      <c r="A54" s="40" t="inlineStr">
        <is>
          <t>Confirmed orders with no deposit</t>
        </is>
      </c>
      <c r="B54" s="41">
        <f>IFERROR(QUERY(IMPORTRANGE("CRM_SPREADSHEET_ID_PLACEHOLDER","Orders!A:J"),"select count(Col1) where Col7 = 0 and Col8 = 'Confirmed' label count(Col1) ''",1),0)</f>
        <v/>
      </c>
      <c r="C54" s="42" t="inlineStr">
        <is>
          <t>CRM → Orders</t>
        </is>
      </c>
    </row>
    <row r="55">
      <c r="A55" s="37" t="inlineStr">
        <is>
          <t>Orders delivered T+2 without feedback</t>
        </is>
      </c>
      <c r="B55" s="38">
        <f>IFERROR(QUERY(IMPORTRANGE("CRM_SPREADSHEET_ID_PLACEHOLDER","Orders!A:J"),"select count(Col1) where Col8 = 'Delivered' and Col4 &lt;= date '"\&amp;TEXT(TODAY()-2,"yyyy-mm-dd")&amp;"' and Col9 = '' label count(Col1) ''",1),0)</f>
        <v/>
      </c>
      <c r="C55" s="39" t="inlineStr">
        <is>
          <t>CRM → Orders (feedback col)</t>
        </is>
      </c>
    </row>
    <row r="56">
      <c r="A56" s="40" t="inlineStr">
        <is>
          <t>Ingredients below PAR level</t>
        </is>
      </c>
      <c r="B56" s="41">
        <f>IFERROR(QUERY(IMPORTRANGE("OPS_SPREADSHEET_ID_PLACEHOLDER","Ingredients!A:G"),"select count(Col1) where Col3 &lt; Col4 and Col1 &lt;&gt; 'Ingredient' label count(Col1) ''",1),0)</f>
        <v/>
      </c>
      <c r="C56" s="42" t="inlineStr">
        <is>
          <t>Operations → Ingredients</t>
        </is>
      </c>
    </row>
    <row r="57">
      <c r="A57" s="37" t="inlineStr">
        <is>
          <t>Posts scheduled next 24 h still in Draft</t>
        </is>
      </c>
      <c r="B57" s="38">
        <f>IFERROR(QUERY(IMPORTRANGE("MKT_SPREADSHEET_ID_PLACEHOLDER","Content Calendar!A:D"),"select count(Col1) where Col2 &gt;= date '"\&amp;TEXT(TODAY(),"yyyy-mm-dd")&amp;"' and Col2 &lt;= date '"\&amp;TEXT(TODAY()+1,"yyyy-mm-dd")&amp;"' and Col4 = 'Draft' label count(Col1) ''",1),0)</f>
        <v/>
      </c>
      <c r="C57" s="39" t="inlineStr">
        <is>
          <t>Marketing → Content Calendar</t>
        </is>
      </c>
    </row>
    <row r="58" ht="6" customHeight="1"/>
    <row r="59">
      <c r="A59" s="43" t="inlineStr">
        <is>
          <t>If any count above is &gt; 0, investigate before end-of-day.</t>
        </is>
      </c>
      <c r="B59" s="23" t="n"/>
      <c r="C59" s="23" t="n"/>
      <c r="D59" s="23" t="n"/>
      <c r="E59" s="23" t="n"/>
      <c r="F59" s="23" t="n"/>
      <c r="G59" s="23" t="n"/>
      <c r="H59" s="23" t="n"/>
    </row>
    <row r="60" ht="6" customHeight="1"/>
    <row r="61" ht="20" customHeight="1">
      <c r="A61" s="24" t="inlineStr">
        <is>
          <t>Panel 7 — Festival cash cycle (Hyderabad calendar)</t>
        </is>
      </c>
      <c r="H61" s="25">
        <f>HYPERLINK("https://docs.google.com/spreadsheets/d/CRM_ID/edit","Open CRM →")</f>
        <v/>
      </c>
    </row>
    <row r="62">
      <c r="A62" s="44" t="inlineStr">
        <is>
          <t>Upcoming festivals (from today)</t>
        </is>
      </c>
      <c r="B62" s="45" t="n"/>
      <c r="C62" s="45" t="n"/>
      <c r="D62" s="45" t="n"/>
      <c r="E62" s="45" t="n"/>
      <c r="F62" s="45" t="n"/>
      <c r="G62" s="45" t="n"/>
      <c r="H62" s="45" t="n"/>
    </row>
    <row r="63">
      <c r="D63" s="46">
        <f>IFERROR(FILTER(D72:F78, E72:E78&gt;TODAY()), "(all festivals past — update FESTIVALS table)")</f>
        <v/>
      </c>
    </row>
    <row r="64">
      <c r="A64" s="29" t="inlineStr">
        <is>
          <t>Next festival</t>
        </is>
      </c>
      <c r="B64" s="35">
        <f>IFERROR(INDEX(D72:D78, MATCH(TRUE, E72:E78&gt;TODAY(), 0)), "(update table)")</f>
        <v/>
      </c>
    </row>
    <row r="65">
      <c r="A65" s="29" t="inlineStr">
        <is>
          <t>Days until next festival</t>
        </is>
      </c>
      <c r="B65" s="47">
        <f>IFERROR(INDEX(E72:E78, MATCH(TRUE, E72:E78&gt;TODAY(), 0)) - TODAY(), "—")</f>
        <v/>
      </c>
    </row>
    <row r="66">
      <c r="A66" s="29" t="inlineStr">
        <is>
          <t>Suggested pre-buy date (21 days prior)</t>
        </is>
      </c>
      <c r="B66" s="48">
        <f>IFERROR(INDEX(E72:E78, MATCH(TRUE, E72:E78&gt;TODAY(), 0)) - 21, "—")</f>
        <v/>
      </c>
    </row>
    <row r="67" ht="28" customHeight="1">
      <c r="A67" s="49" t="inlineStr">
        <is>
          <t>NOTE: If panel 7 rows 64-66 show #VALUE, select each formula cell and press Ctrl+Shift+Enter to enable array formula in Google Sheets.</t>
        </is>
      </c>
      <c r="B67" s="23" t="n"/>
      <c r="C67" s="23" t="n"/>
      <c r="D67" s="23" t="n"/>
      <c r="E67" s="23" t="n"/>
      <c r="F67" s="23" t="n"/>
      <c r="G67" s="23" t="n"/>
      <c r="H67" s="23" t="n"/>
    </row>
    <row r="68" ht="6" customHeight="1"/>
    <row r="69" ht="6" customHeight="1"/>
    <row r="70" ht="6" customHeight="1">
      <c r="D70" s="50" t="inlineStr">
        <is>
          <t>FESTIVALS TABLE (cols D-F, rows 72-78) — update dates each year</t>
        </is>
      </c>
    </row>
    <row r="71">
      <c r="D71" s="26" t="inlineStr">
        <is>
          <t>Festival Name</t>
        </is>
      </c>
      <c r="E71" s="26" t="inlineStr">
        <is>
          <t>Date</t>
        </is>
      </c>
      <c r="F71" s="44" t="inlineStr">
        <is>
          <t>Notes</t>
        </is>
      </c>
      <c r="G71" s="45" t="n"/>
      <c r="H71" s="45" t="n"/>
    </row>
    <row r="72" ht="18" customHeight="1">
      <c r="D72" s="51" t="inlineStr">
        <is>
          <t>Eid al-Adha (Bakrid)</t>
        </is>
      </c>
      <c r="E72" s="52" t="n">
        <v>46189</v>
      </c>
      <c r="F72" s="53" t="inlineStr">
        <is>
          <t>Premium dessert boxes for family meals</t>
        </is>
      </c>
    </row>
    <row r="73" ht="18" customHeight="1">
      <c r="D73" s="54" t="inlineStr">
        <is>
          <t>Ganesh Chaturthi</t>
        </is>
      </c>
      <c r="E73" s="55" t="n">
        <v>46271</v>
      </c>
      <c r="F73" s="56" t="inlineStr">
        <is>
          <t>Modak-shaped fondant; family celebrations</t>
        </is>
      </c>
    </row>
    <row r="74" ht="18" customHeight="1">
      <c r="D74" s="51" t="inlineStr">
        <is>
          <t>Bathukamma</t>
        </is>
      </c>
      <c r="E74" s="52" t="n">
        <v>46295</v>
      </c>
      <c r="F74" s="53" t="inlineStr">
        <is>
          <t>Telugu festival, ladies-only events; floral cake themes</t>
        </is>
      </c>
    </row>
    <row r="75" ht="18" customHeight="1">
      <c r="D75" s="54" t="inlineStr">
        <is>
          <t>Karva Chauth</t>
        </is>
      </c>
      <c r="E75" s="55" t="n">
        <v>46325</v>
      </c>
      <c r="F75" s="56" t="inlineStr">
        <is>
          <t>Custom heart-shaped cakes; eggless preferred</t>
        </is>
      </c>
    </row>
    <row r="76" ht="18" customHeight="1">
      <c r="D76" s="51" t="inlineStr">
        <is>
          <t>Diwali (Lakshmi Puja)</t>
        </is>
      </c>
      <c r="E76" s="52" t="n">
        <v>46327</v>
      </c>
      <c r="F76" s="53" t="inlineStr">
        <is>
          <t>Sweets demand peak; lock production calendar 3 wks ahead</t>
        </is>
      </c>
    </row>
    <row r="77" ht="18" customHeight="1">
      <c r="D77" s="54" t="inlineStr">
        <is>
          <t>Christmas</t>
        </is>
      </c>
      <c r="E77" s="55" t="n">
        <v>46381</v>
      </c>
      <c r="F77" s="56" t="inlineStr">
        <is>
          <t>Fruit cakes, plum cakes; corporate gifting</t>
        </is>
      </c>
    </row>
    <row r="78" ht="18" customHeight="1">
      <c r="D78" s="51" t="inlineStr">
        <is>
          <t>Holi</t>
        </is>
      </c>
      <c r="E78" s="52" t="n">
        <v>46459</v>
      </c>
      <c r="F78" s="53" t="inlineStr">
        <is>
          <t>Colour-themed cakes; brunch parties</t>
        </is>
      </c>
    </row>
    <row r="80">
      <c r="A80" s="57" t="inlineStr">
        <is>
          <t>Dashboard v1.0 — Phase 4a  |  Built with openpyxl  |  Designed for Google Sheets. All IMPORTRANGE formulas require operator setup (see README).</t>
        </is>
      </c>
    </row>
  </sheetData>
  <mergeCells count="28">
    <mergeCell ref="A67:H67"/>
    <mergeCell ref="C54:H54"/>
    <mergeCell ref="C55:H55"/>
    <mergeCell ref="A59:H59"/>
    <mergeCell ref="G2:H2"/>
    <mergeCell ref="F76:H76"/>
    <mergeCell ref="A4:G4"/>
    <mergeCell ref="F75:H75"/>
    <mergeCell ref="A1:H1"/>
    <mergeCell ref="C56:H56"/>
    <mergeCell ref="A2:F2"/>
    <mergeCell ref="F72:H72"/>
    <mergeCell ref="F71:H71"/>
    <mergeCell ref="A30:G30"/>
    <mergeCell ref="A80:H80"/>
    <mergeCell ref="A51:G51"/>
    <mergeCell ref="D70:H70"/>
    <mergeCell ref="F77:H77"/>
    <mergeCell ref="A61:G61"/>
    <mergeCell ref="C57:H57"/>
    <mergeCell ref="C53:H53"/>
    <mergeCell ref="A16:G16"/>
    <mergeCell ref="F73:H73"/>
    <mergeCell ref="F78:H78"/>
    <mergeCell ref="A46:G46"/>
    <mergeCell ref="A62:H62"/>
    <mergeCell ref="F74:H74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2026-05-24T15:22:24Z</dcterms:created>
  <dcterms:modified xmlns:dcterms="http://purl.org/dc/terms/" xmlns:xsi="http://www.w3.org/2001/XMLSchema-instance" xsi:type="dcterms:W3CDTF">2026-05-24T15:22:24Z</dcterms:modified>
</cp:coreProperties>
</file>