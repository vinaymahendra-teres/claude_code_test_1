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ey In" sheetId="2" state="visible" r:id="rId2"/>
    <sheet xmlns:r="http://schemas.openxmlformats.org/officeDocument/2006/relationships" name="Bank vs UPI Float" sheetId="3" state="visible" r:id="rId3"/>
    <sheet xmlns:r="http://schemas.openxmlformats.org/officeDocument/2006/relationships" name="UPI Reconciliation" sheetId="4" state="visible" r:id="rId4"/>
    <sheet xmlns:r="http://schemas.openxmlformats.org/officeDocument/2006/relationships" name="Compliance" sheetId="5" state="visible" r:id="rId5"/>
    <sheet xmlns:r="http://schemas.openxmlformats.org/officeDocument/2006/relationships" name="Money Out" sheetId="6" state="visible" r:id="rId6"/>
    <sheet xmlns:r="http://schemas.openxmlformats.org/officeDocument/2006/relationships" name="Vendor Ledger" sheetId="7" state="visible" r:id="rId7"/>
    <sheet xmlns:r="http://schemas.openxmlformats.org/officeDocument/2006/relationships" name="P&amp;L (monthly)" sheetId="8" state="visible" r:id="rId8"/>
    <sheet xmlns:r="http://schemas.openxmlformats.org/officeDocument/2006/relationships" name="Cash Runway" sheetId="9" state="visible" r:id="rId9"/>
    <sheet xmlns:r="http://schemas.openxmlformats.org/officeDocument/2006/relationships" name="Capex Register" sheetId="10" state="visible" r:id="rId10"/>
    <sheet xmlns:r="http://schemas.openxmlformats.org/officeDocument/2006/relationships" name="Founder Draw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4"/>
    </font>
    <font>
      <b val="1"/>
      <sz val="12"/>
    </font>
    <font>
      <i val="1"/>
      <color rgb="006B7280"/>
    </font>
    <font>
      <b val="1"/>
    </font>
    <font>
      <b val="1"/>
      <color rgb="001F2937"/>
      <sz val="18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164" fontId="0" fillId="4" borderId="0" pivotButton="0" quotePrefix="0" xfId="0"/>
    <xf numFmtId="21" fontId="0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5" fillId="5" borderId="0" pivotButton="0" quotePrefix="0" xfId="0"/>
    <xf numFmtId="0" fontId="5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Tiered Cake Company — Finance (Phase 1e)</t>
        </is>
      </c>
    </row>
    <row r="3">
      <c r="A3" t="inlineStr">
        <is>
          <t>Owners: Swetha (S) · Shreya (Sh)</t>
        </is>
      </c>
    </row>
    <row r="4">
      <c r="A4" t="inlineStr">
        <is>
          <t>Tabs: Money In · Bank vs UPI Float · UPI Reconciliation · Compliance · Money Out · Vendor Ledger · P&amp;L (monthly) · Cash Runway · Capex Register · Founder Draws</t>
        </is>
      </c>
    </row>
    <row r="5">
      <c r="A5" s="2" t="inlineStr">
        <is>
          <t>Generated: 2026-05-24</t>
        </is>
      </c>
    </row>
    <row r="7">
      <c r="A7" t="inlineStr"/>
    </row>
    <row r="8">
      <c r="A8" s="3" t="inlineStr">
        <is>
          <t>1. IMPORT INTO GOOGLE SHEETS</t>
        </is>
      </c>
    </row>
    <row r="9">
      <c r="A9" t="inlineStr">
        <is>
          <t xml:space="preserve">   - sheets.google.com → File → Import → Upload → select this .xlsx → 'Replace spreadsheet'</t>
        </is>
      </c>
    </row>
    <row r="10">
      <c r="A10" t="inlineStr">
        <is>
          <t xml:space="preserve">   - Rename the spreadsheet to '03_Finance' (or similar)</t>
        </is>
      </c>
    </row>
    <row r="11">
      <c r="A11" t="inlineStr"/>
    </row>
    <row r="12">
      <c r="A12" s="3" t="inlineStr">
        <is>
          <t>2. DELETE THE EXAMPLE ROWS (highlighted yellow) once you've eyeballed them</t>
        </is>
      </c>
    </row>
    <row r="13">
      <c r="A13" t="inlineStr">
        <is>
          <t xml:space="preserve">   - Money In tab: sample rows match CRM sample orders for reconciler demo</t>
        </is>
      </c>
    </row>
    <row r="14">
      <c r="A14" t="inlineStr"/>
    </row>
    <row r="15">
      <c r="A15" s="3" t="inlineStr">
        <is>
          <t>3. SET OPENING BALANCES</t>
        </is>
      </c>
    </row>
    <row r="16">
      <c r="A16" t="inlineStr">
        <is>
          <t xml:space="preserve">   - Bank vs UPI Float tab: set Opening balance (₹) and Opening date for each account</t>
        </is>
      </c>
    </row>
    <row r="17">
      <c r="A17" t="inlineStr">
        <is>
          <t xml:space="preserve">   - These are typed once and never edited again</t>
        </is>
      </c>
    </row>
    <row r="18">
      <c r="A18" t="inlineStr"/>
    </row>
    <row r="19">
      <c r="A19" s="3" t="inlineStr">
        <is>
          <t>4. INSTALL upi_reconciler.gs</t>
        </is>
      </c>
    </row>
    <row r="20">
      <c r="A20" t="inlineStr">
        <is>
          <t xml:space="preserve">   - Extensions → Apps Script → paste finance_sheets/apps_script/upi_reconciler.gs</t>
        </is>
      </c>
    </row>
    <row r="21">
      <c r="A21" t="inlineStr">
        <is>
          <t xml:space="preserve">   - In the script, set CRM_SPREADSHEET_ID to the file ID of 01_CRM_Sales.xlsx</t>
        </is>
      </c>
    </row>
    <row r="22">
      <c r="A22" t="inlineStr">
        <is>
          <t xml:space="preserve">     (the long string in the CRM sheet's URL)</t>
        </is>
      </c>
    </row>
    <row r="23">
      <c r="A23" t="inlineStr">
        <is>
          <t xml:space="preserve">   - Add a time trigger: daily 09:00 IST</t>
        </is>
      </c>
    </row>
    <row r="24">
      <c r="A24" t="inlineStr"/>
    </row>
    <row r="25">
      <c r="A25" s="3" t="inlineStr">
        <is>
          <t>5. DAILY WORKFLOW</t>
        </is>
      </c>
    </row>
    <row r="26">
      <c r="A26" t="inlineStr">
        <is>
          <t xml:space="preserve">   - End of day: Sh opens GPay/PhonePe app, logs every customer payment as a Money In row</t>
        </is>
      </c>
    </row>
    <row r="27">
      <c r="A27" t="inlineStr">
        <is>
          <t xml:space="preserve">   - Next morning: open UPI Reconciliation tab, resolve any Section A or B rows</t>
        </is>
      </c>
    </row>
    <row r="28">
      <c r="A28" t="inlineStr"/>
    </row>
    <row r="29">
      <c r="A29" t="inlineStr">
        <is>
          <t>FORMULA CELLS are shaded blue. EXAMPLE rows are shaded yellow.</t>
        </is>
      </c>
    </row>
    <row r="30">
      <c r="A30" t="inlineStr">
        <is>
          <t>Header rows are dark; freeze panes set on row 1 of every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3" customWidth="1" min="4" max="4"/>
    <col width="18" customWidth="1" min="5" max="5"/>
    <col width="12" customWidth="1" min="6" max="6"/>
    <col width="18" customWidth="1" min="7" max="7"/>
    <col width="22" customWidth="1" min="8" max="8"/>
    <col width="22" customWidth="1" min="9" max="9"/>
    <col width="14" customWidth="1" min="10" max="10"/>
    <col width="32" customWidth="1" min="11" max="11"/>
    <col width="18" customWidth="1" min="12" max="12"/>
  </cols>
  <sheetData>
    <row r="1" ht="36" customHeight="1">
      <c r="A1" s="4" t="inlineStr">
        <is>
          <t>Entry ID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Channel</t>
        </is>
      </c>
      <c r="E1" s="4" t="inlineStr">
        <is>
          <t>Account credited</t>
        </is>
      </c>
      <c r="F1" s="4" t="inlineStr">
        <is>
          <t>Amount (₹)</t>
        </is>
      </c>
      <c r="G1" s="4" t="inlineStr">
        <is>
          <t>UPI reference (UTR)</t>
        </is>
      </c>
      <c r="H1" s="4" t="inlineStr">
        <is>
          <t>Payer VPA</t>
        </is>
      </c>
      <c r="I1" s="4" t="inlineStr">
        <is>
          <t>Counter-party name</t>
        </is>
      </c>
      <c r="J1" s="4" t="inlineStr">
        <is>
          <t>Matched Order ID</t>
        </is>
      </c>
      <c r="K1" s="4" t="inlineStr">
        <is>
          <t>Notes</t>
        </is>
      </c>
      <c r="L1" s="4" t="inlineStr">
        <is>
          <t>Logged at</t>
        </is>
      </c>
    </row>
    <row r="2">
      <c r="A2" s="5">
        <f>IF(B2="","","MIN-"&amp;TEXT(ROW()-1,"0000"))</f>
        <v/>
      </c>
      <c r="B2" s="6" t="n">
        <v>46040</v>
      </c>
      <c r="C2" s="7" t="n">
        <v>0.4805555555555556</v>
      </c>
      <c r="D2" s="8" t="inlineStr">
        <is>
          <t>UPI-GPay</t>
        </is>
      </c>
      <c r="E2" s="8" t="inlineStr">
        <is>
          <t>UPI float</t>
        </is>
      </c>
      <c r="F2" s="8" t="n">
        <v>1400</v>
      </c>
      <c r="G2" s="8" t="inlineStr">
        <is>
          <t>422118203341</t>
        </is>
      </c>
      <c r="H2" s="8" t="inlineStr">
        <is>
          <t>arjun.mehta@oksbi</t>
        </is>
      </c>
      <c r="I2" s="8" t="inlineStr">
        <is>
          <t>Arjun Mehta</t>
        </is>
      </c>
      <c r="J2" s="8" t="inlineStr">
        <is>
          <t>ORD-0001</t>
        </is>
      </c>
      <c r="K2" s="8" t="inlineStr">
        <is>
          <t>Deposit for Veer's bday cake</t>
        </is>
      </c>
      <c r="L2" s="5">
        <f>IF(B2="","",NOW())</f>
        <v/>
      </c>
    </row>
    <row r="3">
      <c r="A3" s="5">
        <f>IF(B3="","","MIN-"&amp;TEXT(ROW()-1,"0000"))</f>
        <v/>
      </c>
      <c r="B3" s="6" t="n">
        <v>46044</v>
      </c>
      <c r="C3" s="7" t="n">
        <v>0.3854166666666667</v>
      </c>
      <c r="D3" s="8" t="inlineStr">
        <is>
          <t>UPI-GPay</t>
        </is>
      </c>
      <c r="E3" s="8" t="inlineStr">
        <is>
          <t>UPI float</t>
        </is>
      </c>
      <c r="F3" s="8" t="n">
        <v>1400</v>
      </c>
      <c r="G3" s="8" t="inlineStr">
        <is>
          <t>422199876541</t>
        </is>
      </c>
      <c r="H3" s="8" t="inlineStr">
        <is>
          <t>arjun.mehta@oksbi</t>
        </is>
      </c>
      <c r="I3" s="8" t="inlineStr">
        <is>
          <t>Arjun Mehta</t>
        </is>
      </c>
      <c r="J3" s="8" t="inlineStr">
        <is>
          <t>ORD-0001</t>
        </is>
      </c>
      <c r="K3" s="8" t="inlineStr">
        <is>
          <t>Balance on delivery</t>
        </is>
      </c>
      <c r="L3" s="5">
        <f>IF(B3="","",NOW())</f>
        <v/>
      </c>
    </row>
    <row r="4">
      <c r="A4" s="5">
        <f>IF(B4="","","MIN-"&amp;TEXT(ROW()-1,"0000"))</f>
        <v/>
      </c>
      <c r="B4" s="6" t="n">
        <v>46067</v>
      </c>
      <c r="C4" s="7" t="n">
        <v>0.5986111111111111</v>
      </c>
      <c r="D4" s="8" t="inlineStr">
        <is>
          <t>UPI-PhonePe</t>
        </is>
      </c>
      <c r="E4" s="8" t="inlineStr">
        <is>
          <t>UPI float</t>
        </is>
      </c>
      <c r="F4" s="8" t="n">
        <v>500</v>
      </c>
      <c r="G4" s="8" t="inlineStr">
        <is>
          <t>431229104852</t>
        </is>
      </c>
      <c r="H4" s="8" t="inlineStr">
        <is>
          <t>priya.r@okhdfcbank</t>
        </is>
      </c>
      <c r="I4" s="8" t="inlineStr">
        <is>
          <t>Priya Reddy</t>
        </is>
      </c>
      <c r="J4" s="8" t="inlineStr">
        <is>
          <t>ORD-0002</t>
        </is>
      </c>
      <c r="K4" s="8" t="inlineStr">
        <is>
          <t>Valentine cupcakes deposit</t>
        </is>
      </c>
      <c r="L4" s="5">
        <f>IF(B4="","",NOW())</f>
        <v/>
      </c>
    </row>
    <row r="5">
      <c r="A5" s="5">
        <f>IF(B5="","","MIN-"&amp;TEXT(ROW()-1,"0000"))</f>
        <v/>
      </c>
      <c r="B5" s="6" t="n">
        <v>46069</v>
      </c>
      <c r="C5" s="7" t="n">
        <v>0.4027777777777778</v>
      </c>
      <c r="D5" s="8" t="inlineStr">
        <is>
          <t>UPI-PhonePe</t>
        </is>
      </c>
      <c r="E5" s="8" t="inlineStr">
        <is>
          <t>UPI float</t>
        </is>
      </c>
      <c r="F5" s="8" t="n">
        <v>1000</v>
      </c>
      <c r="G5" s="8" t="inlineStr">
        <is>
          <t>431288773322</t>
        </is>
      </c>
      <c r="H5" s="8" t="inlineStr">
        <is>
          <t>priya.r@okhdfcbank</t>
        </is>
      </c>
      <c r="I5" s="8" t="inlineStr">
        <is>
          <t>Priya Reddy</t>
        </is>
      </c>
      <c r="J5" s="8" t="inlineStr">
        <is>
          <t>ORD-0002</t>
        </is>
      </c>
      <c r="K5" s="8" t="inlineStr">
        <is>
          <t>Balance on pickup</t>
        </is>
      </c>
      <c r="L5" s="5">
        <f>IF(B5="","",NOW())</f>
        <v/>
      </c>
    </row>
    <row r="6">
      <c r="A6" s="5">
        <f>IF(B6="","","MIN-"&amp;TEXT(ROW()-1,"0000"))</f>
        <v/>
      </c>
      <c r="B6" s="6" t="n">
        <v>45993</v>
      </c>
      <c r="C6" s="7" t="n">
        <v>0.6701388888888888</v>
      </c>
      <c r="D6" s="8" t="inlineStr">
        <is>
          <t>Bank Transfer</t>
        </is>
      </c>
      <c r="E6" s="8" t="inlineStr">
        <is>
          <t>Bank</t>
        </is>
      </c>
      <c r="F6" s="8" t="n">
        <v>2000</v>
      </c>
      <c r="I6" s="8" t="inlineStr">
        <is>
          <t>Cordant Software India Pvt Ltd</t>
        </is>
      </c>
      <c r="J6" s="8" t="inlineStr">
        <is>
          <t>ORD-0003</t>
        </is>
      </c>
      <c r="K6" s="8" t="inlineStr">
        <is>
          <t>NEFT for office anniversary cake — invoice ref CRD-1130</t>
        </is>
      </c>
      <c r="L6" s="5">
        <f>IF(B6="","",NOW())</f>
        <v/>
      </c>
    </row>
    <row r="7">
      <c r="A7" s="5">
        <f>IF(B7="","","MIN-"&amp;TEXT(ROW()-1,"0000"))</f>
        <v/>
      </c>
      <c r="B7" s="6" t="n">
        <v>46086</v>
      </c>
      <c r="C7" s="7" t="n">
        <v>0.8458333333333333</v>
      </c>
      <c r="D7" s="8" t="inlineStr">
        <is>
          <t>UPI-GPay</t>
        </is>
      </c>
      <c r="E7" s="8" t="inlineStr">
        <is>
          <t>UPI float</t>
        </is>
      </c>
      <c r="F7" s="8" t="n">
        <v>2000</v>
      </c>
      <c r="G7" s="8" t="inlineStr">
        <is>
          <t>445533781290</t>
        </is>
      </c>
      <c r="H7" s="8" t="inlineStr">
        <is>
          <t>anjali.a@okaxis</t>
        </is>
      </c>
      <c r="I7" s="8" t="inlineStr">
        <is>
          <t>Anjali Agarwal</t>
        </is>
      </c>
      <c r="J7" s="8" t="inlineStr">
        <is>
          <t>ORD-0004</t>
        </is>
      </c>
      <c r="K7" s="8" t="inlineStr">
        <is>
          <t>Myra's bday cake deposit</t>
        </is>
      </c>
      <c r="L7" s="5">
        <f>IF(B7="","",NOW())</f>
        <v/>
      </c>
    </row>
    <row r="8">
      <c r="A8" s="5">
        <f>IF(B8="","","MIN-"&amp;TEXT(ROW()-1,"0000"))</f>
        <v/>
      </c>
      <c r="B8" s="6" t="n">
        <v>46090</v>
      </c>
      <c r="C8" s="7" t="n">
        <v>0.4201388888888889</v>
      </c>
      <c r="D8" s="8" t="inlineStr">
        <is>
          <t>UPI-GPay</t>
        </is>
      </c>
      <c r="E8" s="8" t="inlineStr">
        <is>
          <t>UPI float</t>
        </is>
      </c>
      <c r="F8" s="8" t="n">
        <v>2500</v>
      </c>
      <c r="G8" s="8" t="inlineStr">
        <is>
          <t>445599883344</t>
        </is>
      </c>
      <c r="H8" s="8" t="inlineStr">
        <is>
          <t>anjali.a@okaxis</t>
        </is>
      </c>
      <c r="I8" s="8" t="inlineStr">
        <is>
          <t>Anjali Agarwal</t>
        </is>
      </c>
      <c r="J8" s="8" t="inlineStr">
        <is>
          <t>ORD-0004</t>
        </is>
      </c>
      <c r="K8" s="8" t="inlineStr">
        <is>
          <t>Balance on delivery</t>
        </is>
      </c>
      <c r="L8" s="5">
        <f>IF(B8="","",NOW())</f>
        <v/>
      </c>
    </row>
    <row r="9">
      <c r="A9" s="5">
        <f>IF(B9="","","MIN-"&amp;TEXT(ROW()-1,"0000"))</f>
        <v/>
      </c>
      <c r="B9" s="6" t="n">
        <v>46020</v>
      </c>
      <c r="C9" s="7" t="n">
        <v>0.6444444444444445</v>
      </c>
      <c r="D9" s="8" t="inlineStr">
        <is>
          <t>UPI-GPay</t>
        </is>
      </c>
      <c r="E9" s="8" t="inlineStr">
        <is>
          <t>UPI float</t>
        </is>
      </c>
      <c r="F9" s="8" t="n">
        <v>1800</v>
      </c>
      <c r="G9" s="8" t="inlineStr">
        <is>
          <t>449988102345</t>
        </is>
      </c>
      <c r="H9" s="8" t="inlineStr">
        <is>
          <t>rohan.k@okicici</t>
        </is>
      </c>
      <c r="I9" s="8" t="inlineStr">
        <is>
          <t>Rohan Kapoor</t>
        </is>
      </c>
      <c r="J9" s="8" t="inlineStr">
        <is>
          <t>ORD-0005</t>
        </is>
      </c>
      <c r="K9" s="8" t="inlineStr">
        <is>
          <t>Anniversary cake — full payment on pickup</t>
        </is>
      </c>
      <c r="L9" s="5">
        <f>IF(B9="","",NOW())</f>
        <v/>
      </c>
    </row>
    <row r="10">
      <c r="A10" s="5">
        <f>IF(B10="","","MIN-"&amp;TEXT(ROW()-1,"0000"))</f>
        <v/>
      </c>
      <c r="B10" s="6" t="n">
        <v>46156</v>
      </c>
      <c r="C10" s="7" t="n">
        <v>0.4930555555555556</v>
      </c>
      <c r="D10" s="8" t="inlineStr">
        <is>
          <t>UPI-PhonePe</t>
        </is>
      </c>
      <c r="E10" s="8" t="inlineStr">
        <is>
          <t>UPI float</t>
        </is>
      </c>
      <c r="F10" s="8" t="n">
        <v>1500</v>
      </c>
      <c r="G10" s="8" t="inlineStr">
        <is>
          <t>520011445566</t>
        </is>
      </c>
      <c r="H10" s="8" t="inlineStr">
        <is>
          <t>sandeep.g@okhdfcbank</t>
        </is>
      </c>
      <c r="I10" s="8" t="inlineStr">
        <is>
          <t>Sandeep Goyal</t>
        </is>
      </c>
      <c r="J10" s="8" t="inlineStr">
        <is>
          <t>ORD-0006</t>
        </is>
      </c>
      <c r="K10" s="8" t="inlineStr">
        <is>
          <t>Diwali trial deposit</t>
        </is>
      </c>
      <c r="L10" s="5">
        <f>IF(B10="","",NOW())</f>
        <v/>
      </c>
    </row>
    <row r="11">
      <c r="A11" s="5">
        <f>IF(B11="","","MIN-"&amp;TEXT(ROW()-1,"0000"))</f>
        <v/>
      </c>
      <c r="B11" s="6" t="n">
        <v>46160</v>
      </c>
      <c r="C11" s="7" t="n">
        <v>0.4375</v>
      </c>
      <c r="D11" s="8" t="inlineStr">
        <is>
          <t>UPI-PhonePe</t>
        </is>
      </c>
      <c r="E11" s="8" t="inlineStr">
        <is>
          <t>UPI float</t>
        </is>
      </c>
      <c r="F11" s="8" t="n">
        <v>1500</v>
      </c>
      <c r="G11" s="8" t="inlineStr">
        <is>
          <t>520055667788</t>
        </is>
      </c>
      <c r="H11" s="8" t="inlineStr">
        <is>
          <t>sandeep.g@okhdfcbank</t>
        </is>
      </c>
      <c r="I11" s="8" t="inlineStr">
        <is>
          <t>Sandeep Goyal</t>
        </is>
      </c>
      <c r="J11" s="8" t="inlineStr">
        <is>
          <t>ORD-0006</t>
        </is>
      </c>
      <c r="K11" s="8" t="inlineStr">
        <is>
          <t>Balance on delivery</t>
        </is>
      </c>
      <c r="L11" s="5">
        <f>IF(B11="","",NOW())</f>
        <v/>
      </c>
    </row>
    <row r="12">
      <c r="A12" s="5">
        <f>IF(B12="","","MIN-"&amp;TEXT(ROW()-1,"0000"))</f>
        <v/>
      </c>
      <c r="B12" s="6" t="n">
        <v>46160</v>
      </c>
      <c r="C12" s="7" t="n">
        <v>0.9236111111111112</v>
      </c>
      <c r="D12" s="8" t="inlineStr">
        <is>
          <t>UPI-GPay</t>
        </is>
      </c>
      <c r="E12" s="8" t="inlineStr">
        <is>
          <t>UPI float</t>
        </is>
      </c>
      <c r="F12" s="8" t="n">
        <v>1100</v>
      </c>
      <c r="G12" s="8" t="inlineStr">
        <is>
          <t>521122876543</t>
        </is>
      </c>
      <c r="H12" s="8" t="inlineStr">
        <is>
          <t>sneha.i@oksbi</t>
        </is>
      </c>
      <c r="I12" s="8" t="inlineStr">
        <is>
          <t>Sneha Iyer</t>
        </is>
      </c>
      <c r="J12" s="8" t="inlineStr">
        <is>
          <t>ORD-0007</t>
        </is>
      </c>
      <c r="K12" s="8" t="inlineStr">
        <is>
          <t>Bday cake deposit</t>
        </is>
      </c>
      <c r="L12" s="5">
        <f>IF(B12="","",NOW())</f>
        <v/>
      </c>
    </row>
    <row r="13">
      <c r="A13" s="5">
        <f>IF(B13="","","MIN-"&amp;TEXT(ROW()-1,"0000"))</f>
        <v/>
      </c>
      <c r="B13" s="6" t="n">
        <v>46164</v>
      </c>
      <c r="C13" s="7" t="n">
        <v>0.3888888888888889</v>
      </c>
      <c r="D13" s="8" t="inlineStr">
        <is>
          <t>UPI-GPay</t>
        </is>
      </c>
      <c r="E13" s="8" t="inlineStr">
        <is>
          <t>UPI float</t>
        </is>
      </c>
      <c r="F13" s="8" t="n">
        <v>1100</v>
      </c>
      <c r="G13" s="8" t="inlineStr">
        <is>
          <t>521166998877</t>
        </is>
      </c>
      <c r="H13" s="8" t="inlineStr">
        <is>
          <t>sneha.i@oksbi</t>
        </is>
      </c>
      <c r="I13" s="8" t="inlineStr">
        <is>
          <t>Sneha Iyer</t>
        </is>
      </c>
      <c r="J13" s="8" t="inlineStr">
        <is>
          <t>ORD-0007</t>
        </is>
      </c>
      <c r="K13" s="8" t="inlineStr">
        <is>
          <t>Balance on delivery</t>
        </is>
      </c>
      <c r="L13" s="5">
        <f>IF(B13="","",NOW())</f>
        <v/>
      </c>
    </row>
    <row r="14">
      <c r="A14" s="5">
        <f>IF(B14="","","MIN-"&amp;TEXT(ROW()-1,"0000"))</f>
        <v/>
      </c>
      <c r="B14" s="6" t="n">
        <v>46164</v>
      </c>
      <c r="C14" s="7" t="n">
        <v>0.5888888888888889</v>
      </c>
      <c r="D14" s="8" t="inlineStr">
        <is>
          <t>UPI-PhonePe</t>
        </is>
      </c>
      <c r="E14" s="8" t="inlineStr">
        <is>
          <t>UPI float</t>
        </is>
      </c>
      <c r="F14" s="8" t="n">
        <v>1500</v>
      </c>
      <c r="G14" s="8" t="inlineStr">
        <is>
          <t>522233998877</t>
        </is>
      </c>
      <c r="H14" s="8" t="inlineStr">
        <is>
          <t>vikram.b@okhdfcbank</t>
        </is>
      </c>
      <c r="I14" s="8" t="inlineStr">
        <is>
          <t>Vikram Bhatia</t>
        </is>
      </c>
      <c r="J14" s="8" t="inlineStr">
        <is>
          <t>ORD-0008</t>
        </is>
      </c>
      <c r="K14" s="8" t="inlineStr">
        <is>
          <t>Anniversary cake deposit; balance on 27 May</t>
        </is>
      </c>
      <c r="L14" s="5">
        <f>IF(B14="","",NOW())</f>
        <v/>
      </c>
    </row>
    <row r="15">
      <c r="A15" s="5">
        <f>IF(B15="","","MIN-"&amp;TEXT(ROW()-1,"0000"))</f>
        <v/>
      </c>
      <c r="B15" s="6" t="n">
        <v>46165</v>
      </c>
      <c r="C15" s="7" t="n">
        <v>0.8229166666666666</v>
      </c>
      <c r="D15" s="8" t="inlineStr">
        <is>
          <t>UPI-PhonePe</t>
        </is>
      </c>
      <c r="E15" s="8" t="inlineStr">
        <is>
          <t>UPI float</t>
        </is>
      </c>
      <c r="F15" s="8" t="n">
        <v>1500</v>
      </c>
      <c r="G15" s="8" t="inlineStr">
        <is>
          <t>522288554433</t>
        </is>
      </c>
      <c r="H15" s="8" t="inlineStr">
        <is>
          <t>priya.r@okhdfcbank</t>
        </is>
      </c>
      <c r="I15" s="8" t="inlineStr">
        <is>
          <t>Priya Reddy</t>
        </is>
      </c>
      <c r="J15" s="8" t="inlineStr">
        <is>
          <t>ORD-0009</t>
        </is>
      </c>
      <c r="K15" s="8" t="inlineStr">
        <is>
          <t>Aarav's bday cake deposit</t>
        </is>
      </c>
      <c r="L15" s="5">
        <f>IF(B15="","",NOW())</f>
        <v/>
      </c>
    </row>
    <row r="16">
      <c r="A16" s="5">
        <f>IF(B16="","","MIN-"&amp;TEXT(ROW()-1,"0000"))</f>
        <v/>
      </c>
      <c r="B16" s="6" t="n">
        <v>46164</v>
      </c>
      <c r="C16" s="7" t="n">
        <v>0.8541666666666666</v>
      </c>
      <c r="D16" s="8" t="inlineStr">
        <is>
          <t>UPI-GPay</t>
        </is>
      </c>
      <c r="E16" s="8" t="inlineStr">
        <is>
          <t>UPI float</t>
        </is>
      </c>
      <c r="F16" s="8" t="n">
        <v>700</v>
      </c>
      <c r="G16" s="8" t="inlineStr">
        <is>
          <t>523344112266</t>
        </is>
      </c>
      <c r="H16" s="8" t="inlineStr">
        <is>
          <t>aditi.s@oksbi</t>
        </is>
      </c>
      <c r="I16" s="8" t="inlineStr">
        <is>
          <t>Aditi Saxena</t>
        </is>
      </c>
      <c r="J16" s="8" t="inlineStr">
        <is>
          <t>ORD-0010</t>
        </is>
      </c>
      <c r="K16" s="8" t="inlineStr">
        <is>
          <t>Bomboloni box deposit</t>
        </is>
      </c>
      <c r="L16" s="5">
        <f>IF(B16="","",NOW())</f>
        <v/>
      </c>
    </row>
    <row r="17">
      <c r="A17" s="5">
        <f>IF(B17="","","MIN-"&amp;TEXT(ROW()-1,"0000"))</f>
        <v/>
      </c>
      <c r="B17" s="6" t="n">
        <v>46162</v>
      </c>
      <c r="C17" s="7" t="n">
        <v>0.4583333333333333</v>
      </c>
      <c r="D17" s="8" t="inlineStr">
        <is>
          <t>UPI-GPay</t>
        </is>
      </c>
      <c r="E17" s="8" t="inlineStr">
        <is>
          <t>UPI float</t>
        </is>
      </c>
      <c r="F17" s="8" t="n">
        <v>50</v>
      </c>
      <c r="G17" s="8" t="inlineStr">
        <is>
          <t>519988774422</t>
        </is>
      </c>
      <c r="H17" s="8" t="inlineStr">
        <is>
          <t>unknown.payer@oksbi</t>
        </is>
      </c>
      <c r="I17" s="8" t="inlineStr">
        <is>
          <t>Karthik (mistype?)</t>
        </is>
      </c>
      <c r="K17" s="8" t="inlineStr">
        <is>
          <t>₹50 — possibly a tip or mistaken send; investigate</t>
        </is>
      </c>
      <c r="L17" s="5">
        <f>IF(B17="","",NOW())</f>
        <v/>
      </c>
    </row>
    <row r="18">
      <c r="A18" s="5">
        <f>IF(B18="","","MIN-"&amp;TEXT(ROW()-1,"0000"))</f>
        <v/>
      </c>
      <c r="B18" s="6" t="n">
        <v>46163</v>
      </c>
      <c r="C18" s="7" t="n">
        <v>0.71875</v>
      </c>
      <c r="D18" s="8" t="inlineStr">
        <is>
          <t>Cash</t>
        </is>
      </c>
      <c r="E18" s="8" t="inlineStr">
        <is>
          <t>Cash drawer</t>
        </is>
      </c>
      <c r="F18" s="8" t="n">
        <v>300</v>
      </c>
      <c r="I18" s="8" t="inlineStr">
        <is>
          <t>Walk-in customer (neighbour)</t>
        </is>
      </c>
      <c r="K18" s="8" t="inlineStr">
        <is>
          <t>Sold 6 leftover brownies; not a CRM order</t>
        </is>
      </c>
      <c r="L18" s="5">
        <f>IF(B18="","",NOW())</f>
        <v/>
      </c>
    </row>
    <row r="19">
      <c r="A19" s="5">
        <f>IF(B19="","","MIN-"&amp;TEXT(ROW()-1,"0000"))</f>
        <v/>
      </c>
      <c r="L19" s="5">
        <f>IF(B19="","",NOW())</f>
        <v/>
      </c>
    </row>
    <row r="20">
      <c r="A20" s="5">
        <f>IF(B20="","","MIN-"&amp;TEXT(ROW()-1,"0000"))</f>
        <v/>
      </c>
      <c r="L20" s="5">
        <f>IF(B20="","",NOW())</f>
        <v/>
      </c>
    </row>
    <row r="21">
      <c r="A21" s="5">
        <f>IF(B21="","","MIN-"&amp;TEXT(ROW()-1,"0000"))</f>
        <v/>
      </c>
      <c r="L21" s="5">
        <f>IF(B21="","",NOW())</f>
        <v/>
      </c>
    </row>
    <row r="22">
      <c r="A22" s="5">
        <f>IF(B22="","","MIN-"&amp;TEXT(ROW()-1,"0000"))</f>
        <v/>
      </c>
      <c r="L22" s="5">
        <f>IF(B22="","",NOW())</f>
        <v/>
      </c>
    </row>
    <row r="23">
      <c r="A23" s="5">
        <f>IF(B23="","","MIN-"&amp;TEXT(ROW()-1,"0000"))</f>
        <v/>
      </c>
      <c r="L23" s="5">
        <f>IF(B23="","",NOW())</f>
        <v/>
      </c>
    </row>
    <row r="24">
      <c r="A24" s="5">
        <f>IF(B24="","","MIN-"&amp;TEXT(ROW()-1,"0000"))</f>
        <v/>
      </c>
      <c r="L24" s="5">
        <f>IF(B24="","",NOW())</f>
        <v/>
      </c>
    </row>
    <row r="25">
      <c r="A25" s="5">
        <f>IF(B25="","","MIN-"&amp;TEXT(ROW()-1,"0000"))</f>
        <v/>
      </c>
      <c r="L25" s="5">
        <f>IF(B25="","",NOW())</f>
        <v/>
      </c>
    </row>
    <row r="26">
      <c r="A26" s="5">
        <f>IF(B26="","","MIN-"&amp;TEXT(ROW()-1,"0000"))</f>
        <v/>
      </c>
      <c r="L26" s="5">
        <f>IF(B26="","",NOW())</f>
        <v/>
      </c>
    </row>
    <row r="27">
      <c r="A27" s="5">
        <f>IF(B27="","","MIN-"&amp;TEXT(ROW()-1,"0000"))</f>
        <v/>
      </c>
      <c r="L27" s="5">
        <f>IF(B27="","",NOW())</f>
        <v/>
      </c>
    </row>
    <row r="28">
      <c r="A28" s="5">
        <f>IF(B28="","","MIN-"&amp;TEXT(ROW()-1,"0000"))</f>
        <v/>
      </c>
      <c r="L28" s="5">
        <f>IF(B28="","",NOW())</f>
        <v/>
      </c>
    </row>
    <row r="29">
      <c r="A29" s="5">
        <f>IF(B29="","","MIN-"&amp;TEXT(ROW()-1,"0000"))</f>
        <v/>
      </c>
      <c r="L29" s="5">
        <f>IF(B29="","",NOW())</f>
        <v/>
      </c>
    </row>
    <row r="30">
      <c r="A30" s="5">
        <f>IF(B30="","","MIN-"&amp;TEXT(ROW()-1,"0000"))</f>
        <v/>
      </c>
      <c r="L30" s="5">
        <f>IF(B30="","",NOW())</f>
        <v/>
      </c>
    </row>
    <row r="31">
      <c r="A31" s="5">
        <f>IF(B31="","","MIN-"&amp;TEXT(ROW()-1,"0000"))</f>
        <v/>
      </c>
      <c r="L31" s="5">
        <f>IF(B31="","",NOW())</f>
        <v/>
      </c>
    </row>
    <row r="32">
      <c r="A32" s="5">
        <f>IF(B32="","","MIN-"&amp;TEXT(ROW()-1,"0000"))</f>
        <v/>
      </c>
      <c r="L32" s="5">
        <f>IF(B32="","",NOW())</f>
        <v/>
      </c>
    </row>
    <row r="33">
      <c r="A33" s="5">
        <f>IF(B33="","","MIN-"&amp;TEXT(ROW()-1,"0000"))</f>
        <v/>
      </c>
      <c r="L33" s="5">
        <f>IF(B33="","",NOW())</f>
        <v/>
      </c>
    </row>
    <row r="34">
      <c r="A34" s="5">
        <f>IF(B34="","","MIN-"&amp;TEXT(ROW()-1,"0000"))</f>
        <v/>
      </c>
      <c r="L34" s="5">
        <f>IF(B34="","",NOW())</f>
        <v/>
      </c>
    </row>
    <row r="35">
      <c r="A35" s="5">
        <f>IF(B35="","","MIN-"&amp;TEXT(ROW()-1,"0000"))</f>
        <v/>
      </c>
      <c r="L35" s="5">
        <f>IF(B35="","",NOW())</f>
        <v/>
      </c>
    </row>
    <row r="36">
      <c r="A36" s="5">
        <f>IF(B36="","","MIN-"&amp;TEXT(ROW()-1,"0000"))</f>
        <v/>
      </c>
      <c r="L36" s="5">
        <f>IF(B36="","",NOW())</f>
        <v/>
      </c>
    </row>
    <row r="37">
      <c r="A37" s="5">
        <f>IF(B37="","","MIN-"&amp;TEXT(ROW()-1,"0000"))</f>
        <v/>
      </c>
      <c r="L37" s="5">
        <f>IF(B37="","",NOW())</f>
        <v/>
      </c>
    </row>
    <row r="38">
      <c r="A38" s="5">
        <f>IF(B38="","","MIN-"&amp;TEXT(ROW()-1,"0000"))</f>
        <v/>
      </c>
      <c r="L38" s="5">
        <f>IF(B38="","",NOW())</f>
        <v/>
      </c>
    </row>
    <row r="39">
      <c r="A39" s="5">
        <f>IF(B39="","","MIN-"&amp;TEXT(ROW()-1,"0000"))</f>
        <v/>
      </c>
      <c r="L39" s="5">
        <f>IF(B39="","",NOW())</f>
        <v/>
      </c>
    </row>
    <row r="40">
      <c r="A40" s="5">
        <f>IF(B40="","","MIN-"&amp;TEXT(ROW()-1,"0000"))</f>
        <v/>
      </c>
      <c r="L40" s="5">
        <f>IF(B40="","",NOW())</f>
        <v/>
      </c>
    </row>
    <row r="41">
      <c r="A41" s="5">
        <f>IF(B41="","","MIN-"&amp;TEXT(ROW()-1,"0000"))</f>
        <v/>
      </c>
      <c r="L41" s="5">
        <f>IF(B41="","",NOW())</f>
        <v/>
      </c>
    </row>
    <row r="42">
      <c r="A42" s="5">
        <f>IF(B42="","","MIN-"&amp;TEXT(ROW()-1,"0000"))</f>
        <v/>
      </c>
      <c r="L42" s="5">
        <f>IF(B42="","",NOW())</f>
        <v/>
      </c>
    </row>
    <row r="43">
      <c r="A43" s="5">
        <f>IF(B43="","","MIN-"&amp;TEXT(ROW()-1,"0000"))</f>
        <v/>
      </c>
      <c r="L43" s="5">
        <f>IF(B43="","",NOW())</f>
        <v/>
      </c>
    </row>
    <row r="44">
      <c r="A44" s="5">
        <f>IF(B44="","","MIN-"&amp;TEXT(ROW()-1,"0000"))</f>
        <v/>
      </c>
      <c r="L44" s="5">
        <f>IF(B44="","",NOW())</f>
        <v/>
      </c>
    </row>
    <row r="45">
      <c r="A45" s="5">
        <f>IF(B45="","","MIN-"&amp;TEXT(ROW()-1,"0000"))</f>
        <v/>
      </c>
      <c r="L45" s="5">
        <f>IF(B45="","",NOW())</f>
        <v/>
      </c>
    </row>
    <row r="46">
      <c r="A46" s="5">
        <f>IF(B46="","","MIN-"&amp;TEXT(ROW()-1,"0000"))</f>
        <v/>
      </c>
      <c r="L46" s="5">
        <f>IF(B46="","",NOW())</f>
        <v/>
      </c>
    </row>
    <row r="47">
      <c r="A47" s="5">
        <f>IF(B47="","","MIN-"&amp;TEXT(ROW()-1,"0000"))</f>
        <v/>
      </c>
      <c r="L47" s="5">
        <f>IF(B47="","",NOW())</f>
        <v/>
      </c>
    </row>
    <row r="48">
      <c r="A48" s="5">
        <f>IF(B48="","","MIN-"&amp;TEXT(ROW()-1,"0000"))</f>
        <v/>
      </c>
      <c r="L48" s="5">
        <f>IF(B48="","",NOW())</f>
        <v/>
      </c>
    </row>
    <row r="49">
      <c r="A49" s="5">
        <f>IF(B49="","","MIN-"&amp;TEXT(ROW()-1,"0000"))</f>
        <v/>
      </c>
      <c r="L49" s="5">
        <f>IF(B49="","",NOW())</f>
        <v/>
      </c>
    </row>
    <row r="50">
      <c r="A50" s="5">
        <f>IF(B50="","","MIN-"&amp;TEXT(ROW()-1,"0000"))</f>
        <v/>
      </c>
      <c r="L50" s="5">
        <f>IF(B50="","",NOW())</f>
        <v/>
      </c>
    </row>
    <row r="51">
      <c r="A51" s="5">
        <f>IF(B51="","","MIN-"&amp;TEXT(ROW()-1,"0000"))</f>
        <v/>
      </c>
      <c r="L51" s="5">
        <f>IF(B51="","",NOW())</f>
        <v/>
      </c>
    </row>
    <row r="52">
      <c r="A52" s="5">
        <f>IF(B52="","","MIN-"&amp;TEXT(ROW()-1,"0000"))</f>
        <v/>
      </c>
      <c r="L52" s="5">
        <f>IF(B52="","",NOW())</f>
        <v/>
      </c>
    </row>
    <row r="53">
      <c r="A53" s="5">
        <f>IF(B53="","","MIN-"&amp;TEXT(ROW()-1,"0000"))</f>
        <v/>
      </c>
      <c r="L53" s="5">
        <f>IF(B53="","",NOW())</f>
        <v/>
      </c>
    </row>
    <row r="54">
      <c r="A54" s="5">
        <f>IF(B54="","","MIN-"&amp;TEXT(ROW()-1,"0000"))</f>
        <v/>
      </c>
      <c r="L54" s="5">
        <f>IF(B54="","",NOW())</f>
        <v/>
      </c>
    </row>
    <row r="55">
      <c r="A55" s="5">
        <f>IF(B55="","","MIN-"&amp;TEXT(ROW()-1,"0000"))</f>
        <v/>
      </c>
      <c r="L55" s="5">
        <f>IF(B55="","",NOW())</f>
        <v/>
      </c>
    </row>
    <row r="56">
      <c r="A56" s="5">
        <f>IF(B56="","","MIN-"&amp;TEXT(ROW()-1,"0000"))</f>
        <v/>
      </c>
      <c r="L56" s="5">
        <f>IF(B56="","",NOW())</f>
        <v/>
      </c>
    </row>
    <row r="57">
      <c r="A57" s="5">
        <f>IF(B57="","","MIN-"&amp;TEXT(ROW()-1,"0000"))</f>
        <v/>
      </c>
      <c r="L57" s="5">
        <f>IF(B57="","",NOW())</f>
        <v/>
      </c>
    </row>
    <row r="58">
      <c r="A58" s="5">
        <f>IF(B58="","","MIN-"&amp;TEXT(ROW()-1,"0000"))</f>
        <v/>
      </c>
      <c r="L58" s="5">
        <f>IF(B58="","",NOW())</f>
        <v/>
      </c>
    </row>
    <row r="59">
      <c r="A59" s="5">
        <f>IF(B59="","","MIN-"&amp;TEXT(ROW()-1,"0000"))</f>
        <v/>
      </c>
      <c r="L59" s="5">
        <f>IF(B59="","",NOW())</f>
        <v/>
      </c>
    </row>
    <row r="60">
      <c r="A60" s="5">
        <f>IF(B60="","","MIN-"&amp;TEXT(ROW()-1,"0000"))</f>
        <v/>
      </c>
      <c r="L60" s="5">
        <f>IF(B60="","",NOW())</f>
        <v/>
      </c>
    </row>
    <row r="61">
      <c r="A61" s="5">
        <f>IF(B61="","","MIN-"&amp;TEXT(ROW()-1,"0000"))</f>
        <v/>
      </c>
      <c r="L61" s="5">
        <f>IF(B61="","",NOW())</f>
        <v/>
      </c>
    </row>
    <row r="62">
      <c r="A62" s="5">
        <f>IF(B62="","","MIN-"&amp;TEXT(ROW()-1,"0000"))</f>
        <v/>
      </c>
      <c r="L62" s="5">
        <f>IF(B62="","",NOW())</f>
        <v/>
      </c>
    </row>
    <row r="63">
      <c r="A63" s="5">
        <f>IF(B63="","","MIN-"&amp;TEXT(ROW()-1,"0000"))</f>
        <v/>
      </c>
      <c r="L63" s="5">
        <f>IF(B63="","",NOW())</f>
        <v/>
      </c>
    </row>
    <row r="64">
      <c r="A64" s="5">
        <f>IF(B64="","","MIN-"&amp;TEXT(ROW()-1,"0000"))</f>
        <v/>
      </c>
      <c r="L64" s="5">
        <f>IF(B64="","",NOW())</f>
        <v/>
      </c>
    </row>
    <row r="65">
      <c r="A65" s="5">
        <f>IF(B65="","","MIN-"&amp;TEXT(ROW()-1,"0000"))</f>
        <v/>
      </c>
      <c r="L65" s="5">
        <f>IF(B65="","",NOW())</f>
        <v/>
      </c>
    </row>
    <row r="66">
      <c r="A66" s="5">
        <f>IF(B66="","","MIN-"&amp;TEXT(ROW()-1,"0000"))</f>
        <v/>
      </c>
      <c r="L66" s="5">
        <f>IF(B66="","",NOW())</f>
        <v/>
      </c>
    </row>
    <row r="67">
      <c r="A67" s="5">
        <f>IF(B67="","","MIN-"&amp;TEXT(ROW()-1,"0000"))</f>
        <v/>
      </c>
      <c r="L67" s="5">
        <f>IF(B67="","",NOW())</f>
        <v/>
      </c>
    </row>
    <row r="68">
      <c r="A68" s="5">
        <f>IF(B68="","","MIN-"&amp;TEXT(ROW()-1,"0000"))</f>
        <v/>
      </c>
      <c r="L68" s="5">
        <f>IF(B68="","",NOW())</f>
        <v/>
      </c>
    </row>
    <row r="69">
      <c r="A69" s="5">
        <f>IF(B69="","","MIN-"&amp;TEXT(ROW()-1,"0000"))</f>
        <v/>
      </c>
      <c r="L69" s="5">
        <f>IF(B69="","",NOW())</f>
        <v/>
      </c>
    </row>
    <row r="70">
      <c r="A70" s="5">
        <f>IF(B70="","","MIN-"&amp;TEXT(ROW()-1,"0000"))</f>
        <v/>
      </c>
      <c r="L70" s="5">
        <f>IF(B70="","",NOW())</f>
        <v/>
      </c>
    </row>
    <row r="71">
      <c r="A71" s="5">
        <f>IF(B71="","","MIN-"&amp;TEXT(ROW()-1,"0000"))</f>
        <v/>
      </c>
      <c r="L71" s="5">
        <f>IF(B71="","",NOW())</f>
        <v/>
      </c>
    </row>
    <row r="72">
      <c r="A72" s="5">
        <f>IF(B72="","","MIN-"&amp;TEXT(ROW()-1,"0000"))</f>
        <v/>
      </c>
      <c r="L72" s="5">
        <f>IF(B72="","",NOW())</f>
        <v/>
      </c>
    </row>
    <row r="73">
      <c r="A73" s="5">
        <f>IF(B73="","","MIN-"&amp;TEXT(ROW()-1,"0000"))</f>
        <v/>
      </c>
      <c r="L73" s="5">
        <f>IF(B73="","",NOW())</f>
        <v/>
      </c>
    </row>
    <row r="74">
      <c r="A74" s="5">
        <f>IF(B74="","","MIN-"&amp;TEXT(ROW()-1,"0000"))</f>
        <v/>
      </c>
      <c r="L74" s="5">
        <f>IF(B74="","",NOW())</f>
        <v/>
      </c>
    </row>
    <row r="75">
      <c r="A75" s="5">
        <f>IF(B75="","","MIN-"&amp;TEXT(ROW()-1,"0000"))</f>
        <v/>
      </c>
      <c r="L75" s="5">
        <f>IF(B75="","",NOW())</f>
        <v/>
      </c>
    </row>
    <row r="76">
      <c r="A76" s="5">
        <f>IF(B76="","","MIN-"&amp;TEXT(ROW()-1,"0000"))</f>
        <v/>
      </c>
      <c r="L76" s="5">
        <f>IF(B76="","",NOW())</f>
        <v/>
      </c>
    </row>
    <row r="77">
      <c r="A77" s="5">
        <f>IF(B77="","","MIN-"&amp;TEXT(ROW()-1,"0000"))</f>
        <v/>
      </c>
      <c r="L77" s="5">
        <f>IF(B77="","",NOW())</f>
        <v/>
      </c>
    </row>
    <row r="78">
      <c r="A78" s="5">
        <f>IF(B78="","","MIN-"&amp;TEXT(ROW()-1,"0000"))</f>
        <v/>
      </c>
      <c r="L78" s="5">
        <f>IF(B78="","",NOW())</f>
        <v/>
      </c>
    </row>
    <row r="79">
      <c r="A79" s="5">
        <f>IF(B79="","","MIN-"&amp;TEXT(ROW()-1,"0000"))</f>
        <v/>
      </c>
      <c r="L79" s="5">
        <f>IF(B79="","",NOW())</f>
        <v/>
      </c>
    </row>
    <row r="80">
      <c r="A80" s="5">
        <f>IF(B80="","","MIN-"&amp;TEXT(ROW()-1,"0000"))</f>
        <v/>
      </c>
      <c r="L80" s="5">
        <f>IF(B80="","",NOW())</f>
        <v/>
      </c>
    </row>
    <row r="81">
      <c r="A81" s="5">
        <f>IF(B81="","","MIN-"&amp;TEXT(ROW()-1,"0000"))</f>
        <v/>
      </c>
      <c r="L81" s="5">
        <f>IF(B81="","",NOW())</f>
        <v/>
      </c>
    </row>
    <row r="82">
      <c r="A82" s="5">
        <f>IF(B82="","","MIN-"&amp;TEXT(ROW()-1,"0000"))</f>
        <v/>
      </c>
      <c r="L82" s="5">
        <f>IF(B82="","",NOW())</f>
        <v/>
      </c>
    </row>
    <row r="83">
      <c r="A83" s="5">
        <f>IF(B83="","","MIN-"&amp;TEXT(ROW()-1,"0000"))</f>
        <v/>
      </c>
      <c r="L83" s="5">
        <f>IF(B83="","",NOW())</f>
        <v/>
      </c>
    </row>
    <row r="84">
      <c r="A84" s="5">
        <f>IF(B84="","","MIN-"&amp;TEXT(ROW()-1,"0000"))</f>
        <v/>
      </c>
      <c r="L84" s="5">
        <f>IF(B84="","",NOW())</f>
        <v/>
      </c>
    </row>
    <row r="85">
      <c r="A85" s="5">
        <f>IF(B85="","","MIN-"&amp;TEXT(ROW()-1,"0000"))</f>
        <v/>
      </c>
      <c r="L85" s="5">
        <f>IF(B85="","",NOW())</f>
        <v/>
      </c>
    </row>
    <row r="86">
      <c r="A86" s="5">
        <f>IF(B86="","","MIN-"&amp;TEXT(ROW()-1,"0000"))</f>
        <v/>
      </c>
      <c r="L86" s="5">
        <f>IF(B86="","",NOW())</f>
        <v/>
      </c>
    </row>
    <row r="87">
      <c r="A87" s="5">
        <f>IF(B87="","","MIN-"&amp;TEXT(ROW()-1,"0000"))</f>
        <v/>
      </c>
      <c r="L87" s="5">
        <f>IF(B87="","",NOW())</f>
        <v/>
      </c>
    </row>
    <row r="88">
      <c r="A88" s="5">
        <f>IF(B88="","","MIN-"&amp;TEXT(ROW()-1,"0000"))</f>
        <v/>
      </c>
      <c r="L88" s="5">
        <f>IF(B88="","",NOW())</f>
        <v/>
      </c>
    </row>
    <row r="89">
      <c r="A89" s="5">
        <f>IF(B89="","","MIN-"&amp;TEXT(ROW()-1,"0000"))</f>
        <v/>
      </c>
      <c r="L89" s="5">
        <f>IF(B89="","",NOW())</f>
        <v/>
      </c>
    </row>
    <row r="90">
      <c r="A90" s="5">
        <f>IF(B90="","","MIN-"&amp;TEXT(ROW()-1,"0000"))</f>
        <v/>
      </c>
      <c r="L90" s="5">
        <f>IF(B90="","",NOW())</f>
        <v/>
      </c>
    </row>
    <row r="91">
      <c r="A91" s="5">
        <f>IF(B91="","","MIN-"&amp;TEXT(ROW()-1,"0000"))</f>
        <v/>
      </c>
      <c r="L91" s="5">
        <f>IF(B91="","",NOW())</f>
        <v/>
      </c>
    </row>
    <row r="92">
      <c r="A92" s="5">
        <f>IF(B92="","","MIN-"&amp;TEXT(ROW()-1,"0000"))</f>
        <v/>
      </c>
      <c r="L92" s="5">
        <f>IF(B92="","",NOW())</f>
        <v/>
      </c>
    </row>
    <row r="93">
      <c r="A93" s="5">
        <f>IF(B93="","","MIN-"&amp;TEXT(ROW()-1,"0000"))</f>
        <v/>
      </c>
      <c r="L93" s="5">
        <f>IF(B93="","",NOW())</f>
        <v/>
      </c>
    </row>
    <row r="94">
      <c r="A94" s="5">
        <f>IF(B94="","","MIN-"&amp;TEXT(ROW()-1,"0000"))</f>
        <v/>
      </c>
      <c r="L94" s="5">
        <f>IF(B94="","",NOW())</f>
        <v/>
      </c>
    </row>
    <row r="95">
      <c r="A95" s="5">
        <f>IF(B95="","","MIN-"&amp;TEXT(ROW()-1,"0000"))</f>
        <v/>
      </c>
      <c r="L95" s="5">
        <f>IF(B95="","",NOW())</f>
        <v/>
      </c>
    </row>
    <row r="96">
      <c r="A96" s="5">
        <f>IF(B96="","","MIN-"&amp;TEXT(ROW()-1,"0000"))</f>
        <v/>
      </c>
      <c r="L96" s="5">
        <f>IF(B96="","",NOW())</f>
        <v/>
      </c>
    </row>
    <row r="97">
      <c r="A97" s="5">
        <f>IF(B97="","","MIN-"&amp;TEXT(ROW()-1,"0000"))</f>
        <v/>
      </c>
      <c r="L97" s="5">
        <f>IF(B97="","",NOW())</f>
        <v/>
      </c>
    </row>
    <row r="98">
      <c r="A98" s="5">
        <f>IF(B98="","","MIN-"&amp;TEXT(ROW()-1,"0000"))</f>
        <v/>
      </c>
      <c r="L98" s="5">
        <f>IF(B98="","",NOW())</f>
        <v/>
      </c>
    </row>
    <row r="99">
      <c r="A99" s="5">
        <f>IF(B99="","","MIN-"&amp;TEXT(ROW()-1,"0000"))</f>
        <v/>
      </c>
      <c r="L99" s="5">
        <f>IF(B99="","",NOW())</f>
        <v/>
      </c>
    </row>
    <row r="100">
      <c r="A100" s="5">
        <f>IF(B100="","","MIN-"&amp;TEXT(ROW()-1,"0000"))</f>
        <v/>
      </c>
      <c r="L100" s="5">
        <f>IF(B100="","",NOW())</f>
        <v/>
      </c>
    </row>
    <row r="101">
      <c r="A101" s="5">
        <f>IF(B101="","","MIN-"&amp;TEXT(ROW()-1,"0000"))</f>
        <v/>
      </c>
      <c r="L101" s="5">
        <f>IF(B101="","",NOW())</f>
        <v/>
      </c>
    </row>
    <row r="102">
      <c r="A102" s="5">
        <f>IF(B102="","","MIN-"&amp;TEXT(ROW()-1,"0000"))</f>
        <v/>
      </c>
      <c r="L102" s="5">
        <f>IF(B102="","",NOW())</f>
        <v/>
      </c>
    </row>
    <row r="103">
      <c r="A103" s="5">
        <f>IF(B103="","","MIN-"&amp;TEXT(ROW()-1,"0000"))</f>
        <v/>
      </c>
      <c r="L103" s="5">
        <f>IF(B103="","",NOW())</f>
        <v/>
      </c>
    </row>
    <row r="104">
      <c r="A104" s="5">
        <f>IF(B104="","","MIN-"&amp;TEXT(ROW()-1,"0000"))</f>
        <v/>
      </c>
      <c r="L104" s="5">
        <f>IF(B104="","",NOW())</f>
        <v/>
      </c>
    </row>
    <row r="105">
      <c r="A105" s="5">
        <f>IF(B105="","","MIN-"&amp;TEXT(ROW()-1,"0000"))</f>
        <v/>
      </c>
      <c r="L105" s="5">
        <f>IF(B105="","",NOW())</f>
        <v/>
      </c>
    </row>
    <row r="106">
      <c r="A106" s="5">
        <f>IF(B106="","","MIN-"&amp;TEXT(ROW()-1,"0000"))</f>
        <v/>
      </c>
      <c r="L106" s="5">
        <f>IF(B106="","",NOW())</f>
        <v/>
      </c>
    </row>
    <row r="107">
      <c r="A107" s="5">
        <f>IF(B107="","","MIN-"&amp;TEXT(ROW()-1,"0000"))</f>
        <v/>
      </c>
      <c r="L107" s="5">
        <f>IF(B107="","",NOW())</f>
        <v/>
      </c>
    </row>
    <row r="108">
      <c r="A108" s="5">
        <f>IF(B108="","","MIN-"&amp;TEXT(ROW()-1,"0000"))</f>
        <v/>
      </c>
      <c r="L108" s="5">
        <f>IF(B108="","",NOW())</f>
        <v/>
      </c>
    </row>
    <row r="109">
      <c r="A109" s="5">
        <f>IF(B109="","","MIN-"&amp;TEXT(ROW()-1,"0000"))</f>
        <v/>
      </c>
      <c r="L109" s="5">
        <f>IF(B109="","",NOW())</f>
        <v/>
      </c>
    </row>
    <row r="110">
      <c r="A110" s="5">
        <f>IF(B110="","","MIN-"&amp;TEXT(ROW()-1,"0000"))</f>
        <v/>
      </c>
      <c r="L110" s="5">
        <f>IF(B110="","",NOW())</f>
        <v/>
      </c>
    </row>
    <row r="111">
      <c r="A111" s="5">
        <f>IF(B111="","","MIN-"&amp;TEXT(ROW()-1,"0000"))</f>
        <v/>
      </c>
      <c r="L111" s="5">
        <f>IF(B111="","",NOW())</f>
        <v/>
      </c>
    </row>
    <row r="112">
      <c r="A112" s="5">
        <f>IF(B112="","","MIN-"&amp;TEXT(ROW()-1,"0000"))</f>
        <v/>
      </c>
      <c r="L112" s="5">
        <f>IF(B112="","",NOW())</f>
        <v/>
      </c>
    </row>
    <row r="113">
      <c r="A113" s="5">
        <f>IF(B113="","","MIN-"&amp;TEXT(ROW()-1,"0000"))</f>
        <v/>
      </c>
      <c r="L113" s="5">
        <f>IF(B113="","",NOW())</f>
        <v/>
      </c>
    </row>
    <row r="114">
      <c r="A114" s="5">
        <f>IF(B114="","","MIN-"&amp;TEXT(ROW()-1,"0000"))</f>
        <v/>
      </c>
      <c r="L114" s="5">
        <f>IF(B114="","",NOW())</f>
        <v/>
      </c>
    </row>
    <row r="115">
      <c r="A115" s="5">
        <f>IF(B115="","","MIN-"&amp;TEXT(ROW()-1,"0000"))</f>
        <v/>
      </c>
      <c r="L115" s="5">
        <f>IF(B115="","",NOW())</f>
        <v/>
      </c>
    </row>
    <row r="116">
      <c r="A116" s="5">
        <f>IF(B116="","","MIN-"&amp;TEXT(ROW()-1,"0000"))</f>
        <v/>
      </c>
      <c r="L116" s="5">
        <f>IF(B116="","",NOW())</f>
        <v/>
      </c>
    </row>
    <row r="117">
      <c r="A117" s="5">
        <f>IF(B117="","","MIN-"&amp;TEXT(ROW()-1,"0000"))</f>
        <v/>
      </c>
      <c r="L117" s="5">
        <f>IF(B117="","",NOW())</f>
        <v/>
      </c>
    </row>
    <row r="118">
      <c r="A118" s="5">
        <f>IF(B118="","","MIN-"&amp;TEXT(ROW()-1,"0000"))</f>
        <v/>
      </c>
      <c r="L118" s="5">
        <f>IF(B118="","",NOW())</f>
        <v/>
      </c>
    </row>
    <row r="119">
      <c r="A119" s="5">
        <f>IF(B119="","","MIN-"&amp;TEXT(ROW()-1,"0000"))</f>
        <v/>
      </c>
      <c r="L119" s="5">
        <f>IF(B119="","",NOW())</f>
        <v/>
      </c>
    </row>
    <row r="120">
      <c r="A120" s="5">
        <f>IF(B120="","","MIN-"&amp;TEXT(ROW()-1,"0000"))</f>
        <v/>
      </c>
      <c r="L120" s="5">
        <f>IF(B120="","",NOW())</f>
        <v/>
      </c>
    </row>
    <row r="121">
      <c r="A121" s="5">
        <f>IF(B121="","","MIN-"&amp;TEXT(ROW()-1,"0000"))</f>
        <v/>
      </c>
      <c r="L121" s="5">
        <f>IF(B121="","",NOW())</f>
        <v/>
      </c>
    </row>
    <row r="122">
      <c r="A122" s="5">
        <f>IF(B122="","","MIN-"&amp;TEXT(ROW()-1,"0000"))</f>
        <v/>
      </c>
      <c r="L122" s="5">
        <f>IF(B122="","",NOW())</f>
        <v/>
      </c>
    </row>
    <row r="123">
      <c r="A123" s="5">
        <f>IF(B123="","","MIN-"&amp;TEXT(ROW()-1,"0000"))</f>
        <v/>
      </c>
      <c r="L123" s="5">
        <f>IF(B123="","",NOW())</f>
        <v/>
      </c>
    </row>
    <row r="124">
      <c r="A124" s="5">
        <f>IF(B124="","","MIN-"&amp;TEXT(ROW()-1,"0000"))</f>
        <v/>
      </c>
      <c r="L124" s="5">
        <f>IF(B124="","",NOW())</f>
        <v/>
      </c>
    </row>
    <row r="125">
      <c r="A125" s="5">
        <f>IF(B125="","","MIN-"&amp;TEXT(ROW()-1,"0000"))</f>
        <v/>
      </c>
      <c r="L125" s="5">
        <f>IF(B125="","",NOW())</f>
        <v/>
      </c>
    </row>
    <row r="126">
      <c r="A126" s="5">
        <f>IF(B126="","","MIN-"&amp;TEXT(ROW()-1,"0000"))</f>
        <v/>
      </c>
      <c r="L126" s="5">
        <f>IF(B126="","",NOW())</f>
        <v/>
      </c>
    </row>
    <row r="127">
      <c r="A127" s="5">
        <f>IF(B127="","","MIN-"&amp;TEXT(ROW()-1,"0000"))</f>
        <v/>
      </c>
      <c r="L127" s="5">
        <f>IF(B127="","",NOW())</f>
        <v/>
      </c>
    </row>
    <row r="128">
      <c r="A128" s="5">
        <f>IF(B128="","","MIN-"&amp;TEXT(ROW()-1,"0000"))</f>
        <v/>
      </c>
      <c r="L128" s="5">
        <f>IF(B128="","",NOW())</f>
        <v/>
      </c>
    </row>
    <row r="129">
      <c r="A129" s="5">
        <f>IF(B129="","","MIN-"&amp;TEXT(ROW()-1,"0000"))</f>
        <v/>
      </c>
      <c r="L129" s="5">
        <f>IF(B129="","",NOW())</f>
        <v/>
      </c>
    </row>
    <row r="130">
      <c r="A130" s="5">
        <f>IF(B130="","","MIN-"&amp;TEXT(ROW()-1,"0000"))</f>
        <v/>
      </c>
      <c r="L130" s="5">
        <f>IF(B130="","",NOW())</f>
        <v/>
      </c>
    </row>
    <row r="131">
      <c r="A131" s="5">
        <f>IF(B131="","","MIN-"&amp;TEXT(ROW()-1,"0000"))</f>
        <v/>
      </c>
      <c r="L131" s="5">
        <f>IF(B131="","",NOW())</f>
        <v/>
      </c>
    </row>
    <row r="132">
      <c r="A132" s="5">
        <f>IF(B132="","","MIN-"&amp;TEXT(ROW()-1,"0000"))</f>
        <v/>
      </c>
      <c r="L132" s="5">
        <f>IF(B132="","",NOW())</f>
        <v/>
      </c>
    </row>
    <row r="133">
      <c r="A133" s="5">
        <f>IF(B133="","","MIN-"&amp;TEXT(ROW()-1,"0000"))</f>
        <v/>
      </c>
      <c r="L133" s="5">
        <f>IF(B133="","",NOW())</f>
        <v/>
      </c>
    </row>
    <row r="134">
      <c r="A134" s="5">
        <f>IF(B134="","","MIN-"&amp;TEXT(ROW()-1,"0000"))</f>
        <v/>
      </c>
      <c r="L134" s="5">
        <f>IF(B134="","",NOW())</f>
        <v/>
      </c>
    </row>
    <row r="135">
      <c r="A135" s="5">
        <f>IF(B135="","","MIN-"&amp;TEXT(ROW()-1,"0000"))</f>
        <v/>
      </c>
      <c r="L135" s="5">
        <f>IF(B135="","",NOW())</f>
        <v/>
      </c>
    </row>
    <row r="136">
      <c r="A136" s="5">
        <f>IF(B136="","","MIN-"&amp;TEXT(ROW()-1,"0000"))</f>
        <v/>
      </c>
      <c r="L136" s="5">
        <f>IF(B136="","",NOW())</f>
        <v/>
      </c>
    </row>
    <row r="137">
      <c r="A137" s="5">
        <f>IF(B137="","","MIN-"&amp;TEXT(ROW()-1,"0000"))</f>
        <v/>
      </c>
      <c r="L137" s="5">
        <f>IF(B137="","",NOW())</f>
        <v/>
      </c>
    </row>
    <row r="138">
      <c r="A138" s="5">
        <f>IF(B138="","","MIN-"&amp;TEXT(ROW()-1,"0000"))</f>
        <v/>
      </c>
      <c r="L138" s="5">
        <f>IF(B138="","",NOW())</f>
        <v/>
      </c>
    </row>
    <row r="139">
      <c r="A139" s="5">
        <f>IF(B139="","","MIN-"&amp;TEXT(ROW()-1,"0000"))</f>
        <v/>
      </c>
      <c r="L139" s="5">
        <f>IF(B139="","",NOW())</f>
        <v/>
      </c>
    </row>
    <row r="140">
      <c r="A140" s="5">
        <f>IF(B140="","","MIN-"&amp;TEXT(ROW()-1,"0000"))</f>
        <v/>
      </c>
      <c r="L140" s="5">
        <f>IF(B140="","",NOW())</f>
        <v/>
      </c>
    </row>
    <row r="141">
      <c r="A141" s="5">
        <f>IF(B141="","","MIN-"&amp;TEXT(ROW()-1,"0000"))</f>
        <v/>
      </c>
      <c r="L141" s="5">
        <f>IF(B141="","",NOW())</f>
        <v/>
      </c>
    </row>
    <row r="142">
      <c r="A142" s="5">
        <f>IF(B142="","","MIN-"&amp;TEXT(ROW()-1,"0000"))</f>
        <v/>
      </c>
      <c r="L142" s="5">
        <f>IF(B142="","",NOW())</f>
        <v/>
      </c>
    </row>
    <row r="143">
      <c r="A143" s="5">
        <f>IF(B143="","","MIN-"&amp;TEXT(ROW()-1,"0000"))</f>
        <v/>
      </c>
      <c r="L143" s="5">
        <f>IF(B143="","",NOW())</f>
        <v/>
      </c>
    </row>
    <row r="144">
      <c r="A144" s="5">
        <f>IF(B144="","","MIN-"&amp;TEXT(ROW()-1,"0000"))</f>
        <v/>
      </c>
      <c r="L144" s="5">
        <f>IF(B144="","",NOW())</f>
        <v/>
      </c>
    </row>
    <row r="145">
      <c r="A145" s="5">
        <f>IF(B145="","","MIN-"&amp;TEXT(ROW()-1,"0000"))</f>
        <v/>
      </c>
      <c r="L145" s="5">
        <f>IF(B145="","",NOW())</f>
        <v/>
      </c>
    </row>
    <row r="146">
      <c r="A146" s="5">
        <f>IF(B146="","","MIN-"&amp;TEXT(ROW()-1,"0000"))</f>
        <v/>
      </c>
      <c r="L146" s="5">
        <f>IF(B146="","",NOW())</f>
        <v/>
      </c>
    </row>
    <row r="147">
      <c r="A147" s="5">
        <f>IF(B147="","","MIN-"&amp;TEXT(ROW()-1,"0000"))</f>
        <v/>
      </c>
      <c r="L147" s="5">
        <f>IF(B147="","",NOW())</f>
        <v/>
      </c>
    </row>
    <row r="148">
      <c r="A148" s="5">
        <f>IF(B148="","","MIN-"&amp;TEXT(ROW()-1,"0000"))</f>
        <v/>
      </c>
      <c r="L148" s="5">
        <f>IF(B148="","",NOW())</f>
        <v/>
      </c>
    </row>
    <row r="149">
      <c r="A149" s="5">
        <f>IF(B149="","","MIN-"&amp;TEXT(ROW()-1,"0000"))</f>
        <v/>
      </c>
      <c r="L149" s="5">
        <f>IF(B149="","",NOW())</f>
        <v/>
      </c>
    </row>
    <row r="150">
      <c r="A150" s="5">
        <f>IF(B150="","","MIN-"&amp;TEXT(ROW()-1,"0000"))</f>
        <v/>
      </c>
      <c r="L150" s="5">
        <f>IF(B150="","",NOW())</f>
        <v/>
      </c>
    </row>
    <row r="151">
      <c r="A151" s="5">
        <f>IF(B151="","","MIN-"&amp;TEXT(ROW()-1,"0000"))</f>
        <v/>
      </c>
      <c r="L151" s="5">
        <f>IF(B151="","",NOW())</f>
        <v/>
      </c>
    </row>
    <row r="152">
      <c r="A152" s="5">
        <f>IF(B152="","","MIN-"&amp;TEXT(ROW()-1,"0000"))</f>
        <v/>
      </c>
      <c r="L152" s="5">
        <f>IF(B152="","",NOW())</f>
        <v/>
      </c>
    </row>
    <row r="153">
      <c r="A153" s="5">
        <f>IF(B153="","","MIN-"&amp;TEXT(ROW()-1,"0000"))</f>
        <v/>
      </c>
      <c r="L153" s="5">
        <f>IF(B153="","",NOW())</f>
        <v/>
      </c>
    </row>
    <row r="154">
      <c r="A154" s="5">
        <f>IF(B154="","","MIN-"&amp;TEXT(ROW()-1,"0000"))</f>
        <v/>
      </c>
      <c r="L154" s="5">
        <f>IF(B154="","",NOW())</f>
        <v/>
      </c>
    </row>
    <row r="155">
      <c r="A155" s="5">
        <f>IF(B155="","","MIN-"&amp;TEXT(ROW()-1,"0000"))</f>
        <v/>
      </c>
      <c r="L155" s="5">
        <f>IF(B155="","",NOW())</f>
        <v/>
      </c>
    </row>
    <row r="156">
      <c r="A156" s="5">
        <f>IF(B156="","","MIN-"&amp;TEXT(ROW()-1,"0000"))</f>
        <v/>
      </c>
      <c r="L156" s="5">
        <f>IF(B156="","",NOW())</f>
        <v/>
      </c>
    </row>
    <row r="157">
      <c r="A157" s="5">
        <f>IF(B157="","","MIN-"&amp;TEXT(ROW()-1,"0000"))</f>
        <v/>
      </c>
      <c r="L157" s="5">
        <f>IF(B157="","",NOW())</f>
        <v/>
      </c>
    </row>
    <row r="158">
      <c r="A158" s="5">
        <f>IF(B158="","","MIN-"&amp;TEXT(ROW()-1,"0000"))</f>
        <v/>
      </c>
      <c r="L158" s="5">
        <f>IF(B158="","",NOW())</f>
        <v/>
      </c>
    </row>
    <row r="159">
      <c r="A159" s="5">
        <f>IF(B159="","","MIN-"&amp;TEXT(ROW()-1,"0000"))</f>
        <v/>
      </c>
      <c r="L159" s="5">
        <f>IF(B159="","",NOW())</f>
        <v/>
      </c>
    </row>
    <row r="160">
      <c r="A160" s="5">
        <f>IF(B160="","","MIN-"&amp;TEXT(ROW()-1,"0000"))</f>
        <v/>
      </c>
      <c r="L160" s="5">
        <f>IF(B160="","",NOW())</f>
        <v/>
      </c>
    </row>
    <row r="161">
      <c r="A161" s="5">
        <f>IF(B161="","","MIN-"&amp;TEXT(ROW()-1,"0000"))</f>
        <v/>
      </c>
      <c r="L161" s="5">
        <f>IF(B161="","",NOW())</f>
        <v/>
      </c>
    </row>
    <row r="162">
      <c r="A162" s="5">
        <f>IF(B162="","","MIN-"&amp;TEXT(ROW()-1,"0000"))</f>
        <v/>
      </c>
      <c r="L162" s="5">
        <f>IF(B162="","",NOW())</f>
        <v/>
      </c>
    </row>
    <row r="163">
      <c r="A163" s="5">
        <f>IF(B163="","","MIN-"&amp;TEXT(ROW()-1,"0000"))</f>
        <v/>
      </c>
      <c r="L163" s="5">
        <f>IF(B163="","",NOW())</f>
        <v/>
      </c>
    </row>
    <row r="164">
      <c r="A164" s="5">
        <f>IF(B164="","","MIN-"&amp;TEXT(ROW()-1,"0000"))</f>
        <v/>
      </c>
      <c r="L164" s="5">
        <f>IF(B164="","",NOW())</f>
        <v/>
      </c>
    </row>
    <row r="165">
      <c r="A165" s="5">
        <f>IF(B165="","","MIN-"&amp;TEXT(ROW()-1,"0000"))</f>
        <v/>
      </c>
      <c r="L165" s="5">
        <f>IF(B165="","",NOW())</f>
        <v/>
      </c>
    </row>
    <row r="166">
      <c r="A166" s="5">
        <f>IF(B166="","","MIN-"&amp;TEXT(ROW()-1,"0000"))</f>
        <v/>
      </c>
      <c r="L166" s="5">
        <f>IF(B166="","",NOW())</f>
        <v/>
      </c>
    </row>
    <row r="167">
      <c r="A167" s="5">
        <f>IF(B167="","","MIN-"&amp;TEXT(ROW()-1,"0000"))</f>
        <v/>
      </c>
      <c r="L167" s="5">
        <f>IF(B167="","",NOW())</f>
        <v/>
      </c>
    </row>
    <row r="168">
      <c r="A168" s="5">
        <f>IF(B168="","","MIN-"&amp;TEXT(ROW()-1,"0000"))</f>
        <v/>
      </c>
      <c r="L168" s="5">
        <f>IF(B168="","",NOW())</f>
        <v/>
      </c>
    </row>
    <row r="169">
      <c r="A169" s="5">
        <f>IF(B169="","","MIN-"&amp;TEXT(ROW()-1,"0000"))</f>
        <v/>
      </c>
      <c r="L169" s="5">
        <f>IF(B169="","",NOW())</f>
        <v/>
      </c>
    </row>
    <row r="170">
      <c r="A170" s="5">
        <f>IF(B170="","","MIN-"&amp;TEXT(ROW()-1,"0000"))</f>
        <v/>
      </c>
      <c r="L170" s="5">
        <f>IF(B170="","",NOW())</f>
        <v/>
      </c>
    </row>
    <row r="171">
      <c r="A171" s="5">
        <f>IF(B171="","","MIN-"&amp;TEXT(ROW()-1,"0000"))</f>
        <v/>
      </c>
      <c r="L171" s="5">
        <f>IF(B171="","",NOW())</f>
        <v/>
      </c>
    </row>
    <row r="172">
      <c r="A172" s="5">
        <f>IF(B172="","","MIN-"&amp;TEXT(ROW()-1,"0000"))</f>
        <v/>
      </c>
      <c r="L172" s="5">
        <f>IF(B172="","",NOW())</f>
        <v/>
      </c>
    </row>
    <row r="173">
      <c r="A173" s="5">
        <f>IF(B173="","","MIN-"&amp;TEXT(ROW()-1,"0000"))</f>
        <v/>
      </c>
      <c r="L173" s="5">
        <f>IF(B173="","",NOW())</f>
        <v/>
      </c>
    </row>
    <row r="174">
      <c r="A174" s="5">
        <f>IF(B174="","","MIN-"&amp;TEXT(ROW()-1,"0000"))</f>
        <v/>
      </c>
      <c r="L174" s="5">
        <f>IF(B174="","",NOW())</f>
        <v/>
      </c>
    </row>
    <row r="175">
      <c r="A175" s="5">
        <f>IF(B175="","","MIN-"&amp;TEXT(ROW()-1,"0000"))</f>
        <v/>
      </c>
      <c r="L175" s="5">
        <f>IF(B175="","",NOW())</f>
        <v/>
      </c>
    </row>
    <row r="176">
      <c r="A176" s="5">
        <f>IF(B176="","","MIN-"&amp;TEXT(ROW()-1,"0000"))</f>
        <v/>
      </c>
      <c r="L176" s="5">
        <f>IF(B176="","",NOW())</f>
        <v/>
      </c>
    </row>
    <row r="177">
      <c r="A177" s="5">
        <f>IF(B177="","","MIN-"&amp;TEXT(ROW()-1,"0000"))</f>
        <v/>
      </c>
      <c r="L177" s="5">
        <f>IF(B177="","",NOW())</f>
        <v/>
      </c>
    </row>
    <row r="178">
      <c r="A178" s="5">
        <f>IF(B178="","","MIN-"&amp;TEXT(ROW()-1,"0000"))</f>
        <v/>
      </c>
      <c r="L178" s="5">
        <f>IF(B178="","",NOW())</f>
        <v/>
      </c>
    </row>
    <row r="179">
      <c r="A179" s="5">
        <f>IF(B179="","","MIN-"&amp;TEXT(ROW()-1,"0000"))</f>
        <v/>
      </c>
      <c r="L179" s="5">
        <f>IF(B179="","",NOW())</f>
        <v/>
      </c>
    </row>
    <row r="180">
      <c r="A180" s="5">
        <f>IF(B180="","","MIN-"&amp;TEXT(ROW()-1,"0000"))</f>
        <v/>
      </c>
      <c r="L180" s="5">
        <f>IF(B180="","",NOW())</f>
        <v/>
      </c>
    </row>
    <row r="181">
      <c r="A181" s="5">
        <f>IF(B181="","","MIN-"&amp;TEXT(ROW()-1,"0000"))</f>
        <v/>
      </c>
      <c r="L181" s="5">
        <f>IF(B181="","",NOW())</f>
        <v/>
      </c>
    </row>
    <row r="182">
      <c r="A182" s="5">
        <f>IF(B182="","","MIN-"&amp;TEXT(ROW()-1,"0000"))</f>
        <v/>
      </c>
      <c r="L182" s="5">
        <f>IF(B182="","",NOW())</f>
        <v/>
      </c>
    </row>
    <row r="183">
      <c r="A183" s="5">
        <f>IF(B183="","","MIN-"&amp;TEXT(ROW()-1,"0000"))</f>
        <v/>
      </c>
      <c r="L183" s="5">
        <f>IF(B183="","",NOW())</f>
        <v/>
      </c>
    </row>
    <row r="184">
      <c r="A184" s="5">
        <f>IF(B184="","","MIN-"&amp;TEXT(ROW()-1,"0000"))</f>
        <v/>
      </c>
      <c r="L184" s="5">
        <f>IF(B184="","",NOW())</f>
        <v/>
      </c>
    </row>
    <row r="185">
      <c r="A185" s="5">
        <f>IF(B185="","","MIN-"&amp;TEXT(ROW()-1,"0000"))</f>
        <v/>
      </c>
      <c r="L185" s="5">
        <f>IF(B185="","",NOW())</f>
        <v/>
      </c>
    </row>
    <row r="186">
      <c r="A186" s="5">
        <f>IF(B186="","","MIN-"&amp;TEXT(ROW()-1,"0000"))</f>
        <v/>
      </c>
      <c r="L186" s="5">
        <f>IF(B186="","",NOW())</f>
        <v/>
      </c>
    </row>
    <row r="187">
      <c r="A187" s="5">
        <f>IF(B187="","","MIN-"&amp;TEXT(ROW()-1,"0000"))</f>
        <v/>
      </c>
      <c r="L187" s="5">
        <f>IF(B187="","",NOW())</f>
        <v/>
      </c>
    </row>
    <row r="188">
      <c r="A188" s="5">
        <f>IF(B188="","","MIN-"&amp;TEXT(ROW()-1,"0000"))</f>
        <v/>
      </c>
      <c r="L188" s="5">
        <f>IF(B188="","",NOW())</f>
        <v/>
      </c>
    </row>
    <row r="189">
      <c r="A189" s="5">
        <f>IF(B189="","","MIN-"&amp;TEXT(ROW()-1,"0000"))</f>
        <v/>
      </c>
      <c r="L189" s="5">
        <f>IF(B189="","",NOW())</f>
        <v/>
      </c>
    </row>
    <row r="190">
      <c r="A190" s="5">
        <f>IF(B190="","","MIN-"&amp;TEXT(ROW()-1,"0000"))</f>
        <v/>
      </c>
      <c r="L190" s="5">
        <f>IF(B190="","",NOW())</f>
        <v/>
      </c>
    </row>
    <row r="191">
      <c r="A191" s="5">
        <f>IF(B191="","","MIN-"&amp;TEXT(ROW()-1,"0000"))</f>
        <v/>
      </c>
      <c r="L191" s="5">
        <f>IF(B191="","",NOW())</f>
        <v/>
      </c>
    </row>
    <row r="192">
      <c r="A192" s="5">
        <f>IF(B192="","","MIN-"&amp;TEXT(ROW()-1,"0000"))</f>
        <v/>
      </c>
      <c r="L192" s="5">
        <f>IF(B192="","",NOW())</f>
        <v/>
      </c>
    </row>
    <row r="193">
      <c r="A193" s="5">
        <f>IF(B193="","","MIN-"&amp;TEXT(ROW()-1,"0000"))</f>
        <v/>
      </c>
      <c r="L193" s="5">
        <f>IF(B193="","",NOW())</f>
        <v/>
      </c>
    </row>
    <row r="194">
      <c r="A194" s="5">
        <f>IF(B194="","","MIN-"&amp;TEXT(ROW()-1,"0000"))</f>
        <v/>
      </c>
      <c r="L194" s="5">
        <f>IF(B194="","",NOW())</f>
        <v/>
      </c>
    </row>
    <row r="195">
      <c r="A195" s="5">
        <f>IF(B195="","","MIN-"&amp;TEXT(ROW()-1,"0000"))</f>
        <v/>
      </c>
      <c r="L195" s="5">
        <f>IF(B195="","",NOW())</f>
        <v/>
      </c>
    </row>
    <row r="196">
      <c r="A196" s="5">
        <f>IF(B196="","","MIN-"&amp;TEXT(ROW()-1,"0000"))</f>
        <v/>
      </c>
      <c r="L196" s="5">
        <f>IF(B196="","",NOW())</f>
        <v/>
      </c>
    </row>
    <row r="197">
      <c r="A197" s="5">
        <f>IF(B197="","","MIN-"&amp;TEXT(ROW()-1,"0000"))</f>
        <v/>
      </c>
      <c r="L197" s="5">
        <f>IF(B197="","",NOW())</f>
        <v/>
      </c>
    </row>
    <row r="198">
      <c r="A198" s="5">
        <f>IF(B198="","","MIN-"&amp;TEXT(ROW()-1,"0000"))</f>
        <v/>
      </c>
      <c r="L198" s="5">
        <f>IF(B198="","",NOW())</f>
        <v/>
      </c>
    </row>
    <row r="199">
      <c r="A199" s="5">
        <f>IF(B199="","","MIN-"&amp;TEXT(ROW()-1,"0000"))</f>
        <v/>
      </c>
      <c r="L199" s="5">
        <f>IF(B199="","",NOW())</f>
        <v/>
      </c>
    </row>
    <row r="200">
      <c r="A200" s="5">
        <f>IF(B200="","","MIN-"&amp;TEXT(ROW()-1,"0000"))</f>
        <v/>
      </c>
      <c r="L200" s="5">
        <f>IF(B200="","",NOW())</f>
        <v/>
      </c>
    </row>
    <row r="201">
      <c r="A201" s="5">
        <f>IF(B201="","","MIN-"&amp;TEXT(ROW()-1,"0000"))</f>
        <v/>
      </c>
      <c r="L201" s="5">
        <f>IF(B201="","",NOW())</f>
        <v/>
      </c>
    </row>
    <row r="202">
      <c r="A202" s="5">
        <f>IF(B202="","","MIN-"&amp;TEXT(ROW()-1,"0000"))</f>
        <v/>
      </c>
      <c r="L202" s="5">
        <f>IF(B202="","",NOW())</f>
        <v/>
      </c>
    </row>
    <row r="203">
      <c r="A203" s="5">
        <f>IF(B203="","","MIN-"&amp;TEXT(ROW()-1,"0000"))</f>
        <v/>
      </c>
      <c r="L203" s="5">
        <f>IF(B203="","",NOW())</f>
        <v/>
      </c>
    </row>
    <row r="204">
      <c r="A204" s="5">
        <f>IF(B204="","","MIN-"&amp;TEXT(ROW()-1,"0000"))</f>
        <v/>
      </c>
      <c r="L204" s="5">
        <f>IF(B204="","",NOW())</f>
        <v/>
      </c>
    </row>
    <row r="205">
      <c r="A205" s="5">
        <f>IF(B205="","","MIN-"&amp;TEXT(ROW()-1,"0000"))</f>
        <v/>
      </c>
      <c r="L205" s="5">
        <f>IF(B205="","",NOW())</f>
        <v/>
      </c>
    </row>
    <row r="206">
      <c r="A206" s="5">
        <f>IF(B206="","","MIN-"&amp;TEXT(ROW()-1,"0000"))</f>
        <v/>
      </c>
      <c r="L206" s="5">
        <f>IF(B206="","",NOW())</f>
        <v/>
      </c>
    </row>
    <row r="207">
      <c r="A207" s="5">
        <f>IF(B207="","","MIN-"&amp;TEXT(ROW()-1,"0000"))</f>
        <v/>
      </c>
      <c r="L207" s="5">
        <f>IF(B207="","",NOW())</f>
        <v/>
      </c>
    </row>
    <row r="208">
      <c r="A208" s="5">
        <f>IF(B208="","","MIN-"&amp;TEXT(ROW()-1,"0000"))</f>
        <v/>
      </c>
      <c r="L208" s="5">
        <f>IF(B208="","",NOW())</f>
        <v/>
      </c>
    </row>
    <row r="209">
      <c r="A209" s="5">
        <f>IF(B209="","","MIN-"&amp;TEXT(ROW()-1,"0000"))</f>
        <v/>
      </c>
      <c r="L209" s="5">
        <f>IF(B209="","",NOW())</f>
        <v/>
      </c>
    </row>
    <row r="210">
      <c r="A210" s="5">
        <f>IF(B210="","","MIN-"&amp;TEXT(ROW()-1,"0000"))</f>
        <v/>
      </c>
      <c r="L210" s="5">
        <f>IF(B210="","",NOW())</f>
        <v/>
      </c>
    </row>
    <row r="211">
      <c r="A211" s="5">
        <f>IF(B211="","","MIN-"&amp;TEXT(ROW()-1,"0000"))</f>
        <v/>
      </c>
      <c r="L211" s="5">
        <f>IF(B211="","",NOW())</f>
        <v/>
      </c>
    </row>
    <row r="212">
      <c r="A212" s="5">
        <f>IF(B212="","","MIN-"&amp;TEXT(ROW()-1,"0000"))</f>
        <v/>
      </c>
      <c r="L212" s="5">
        <f>IF(B212="","",NOW())</f>
        <v/>
      </c>
    </row>
    <row r="213">
      <c r="A213" s="5">
        <f>IF(B213="","","MIN-"&amp;TEXT(ROW()-1,"0000"))</f>
        <v/>
      </c>
      <c r="L213" s="5">
        <f>IF(B213="","",NOW())</f>
        <v/>
      </c>
    </row>
    <row r="214">
      <c r="A214" s="5">
        <f>IF(B214="","","MIN-"&amp;TEXT(ROW()-1,"0000"))</f>
        <v/>
      </c>
      <c r="L214" s="5">
        <f>IF(B214="","",NOW())</f>
        <v/>
      </c>
    </row>
    <row r="215">
      <c r="A215" s="5">
        <f>IF(B215="","","MIN-"&amp;TEXT(ROW()-1,"0000"))</f>
        <v/>
      </c>
      <c r="L215" s="5">
        <f>IF(B215="","",NOW())</f>
        <v/>
      </c>
    </row>
    <row r="216">
      <c r="A216" s="5">
        <f>IF(B216="","","MIN-"&amp;TEXT(ROW()-1,"0000"))</f>
        <v/>
      </c>
      <c r="L216" s="5">
        <f>IF(B216="","",NOW())</f>
        <v/>
      </c>
    </row>
    <row r="217">
      <c r="A217" s="5">
        <f>IF(B217="","","MIN-"&amp;TEXT(ROW()-1,"0000"))</f>
        <v/>
      </c>
      <c r="L217" s="5">
        <f>IF(B217="","",NOW())</f>
        <v/>
      </c>
    </row>
    <row r="218">
      <c r="A218" s="5">
        <f>IF(B218="","","MIN-"&amp;TEXT(ROW()-1,"0000"))</f>
        <v/>
      </c>
      <c r="L218" s="5">
        <f>IF(B218="","",NOW())</f>
        <v/>
      </c>
    </row>
    <row r="219">
      <c r="A219" s="5">
        <f>IF(B219="","","MIN-"&amp;TEXT(ROW()-1,"0000"))</f>
        <v/>
      </c>
      <c r="L219" s="5">
        <f>IF(B219="","",NOW())</f>
        <v/>
      </c>
    </row>
    <row r="220">
      <c r="A220" s="5">
        <f>IF(B220="","","MIN-"&amp;TEXT(ROW()-1,"0000"))</f>
        <v/>
      </c>
      <c r="L220" s="5">
        <f>IF(B220="","",NOW())</f>
        <v/>
      </c>
    </row>
    <row r="221">
      <c r="A221" s="5">
        <f>IF(B221="","","MIN-"&amp;TEXT(ROW()-1,"0000"))</f>
        <v/>
      </c>
      <c r="L221" s="5">
        <f>IF(B221="","",NOW())</f>
        <v/>
      </c>
    </row>
    <row r="222">
      <c r="A222" s="5">
        <f>IF(B222="","","MIN-"&amp;TEXT(ROW()-1,"0000"))</f>
        <v/>
      </c>
      <c r="L222" s="5">
        <f>IF(B222="","",NOW())</f>
        <v/>
      </c>
    </row>
    <row r="223">
      <c r="A223" s="5">
        <f>IF(B223="","","MIN-"&amp;TEXT(ROW()-1,"0000"))</f>
        <v/>
      </c>
      <c r="L223" s="5">
        <f>IF(B223="","",NOW())</f>
        <v/>
      </c>
    </row>
    <row r="224">
      <c r="A224" s="5">
        <f>IF(B224="","","MIN-"&amp;TEXT(ROW()-1,"0000"))</f>
        <v/>
      </c>
      <c r="L224" s="5">
        <f>IF(B224="","",NOW())</f>
        <v/>
      </c>
    </row>
    <row r="225">
      <c r="A225" s="5">
        <f>IF(B225="","","MIN-"&amp;TEXT(ROW()-1,"0000"))</f>
        <v/>
      </c>
      <c r="L225" s="5">
        <f>IF(B225="","",NOW())</f>
        <v/>
      </c>
    </row>
    <row r="226">
      <c r="A226" s="5">
        <f>IF(B226="","","MIN-"&amp;TEXT(ROW()-1,"0000"))</f>
        <v/>
      </c>
      <c r="L226" s="5">
        <f>IF(B226="","",NOW())</f>
        <v/>
      </c>
    </row>
    <row r="227">
      <c r="A227" s="5">
        <f>IF(B227="","","MIN-"&amp;TEXT(ROW()-1,"0000"))</f>
        <v/>
      </c>
      <c r="L227" s="5">
        <f>IF(B227="","",NOW())</f>
        <v/>
      </c>
    </row>
    <row r="228">
      <c r="A228" s="5">
        <f>IF(B228="","","MIN-"&amp;TEXT(ROW()-1,"0000"))</f>
        <v/>
      </c>
      <c r="L228" s="5">
        <f>IF(B228="","",NOW())</f>
        <v/>
      </c>
    </row>
    <row r="229">
      <c r="A229" s="5">
        <f>IF(B229="","","MIN-"&amp;TEXT(ROW()-1,"0000"))</f>
        <v/>
      </c>
      <c r="L229" s="5">
        <f>IF(B229="","",NOW())</f>
        <v/>
      </c>
    </row>
    <row r="230">
      <c r="A230" s="5">
        <f>IF(B230="","","MIN-"&amp;TEXT(ROW()-1,"0000"))</f>
        <v/>
      </c>
      <c r="L230" s="5">
        <f>IF(B230="","",NOW())</f>
        <v/>
      </c>
    </row>
    <row r="231">
      <c r="A231" s="5">
        <f>IF(B231="","","MIN-"&amp;TEXT(ROW()-1,"0000"))</f>
        <v/>
      </c>
      <c r="L231" s="5">
        <f>IF(B231="","",NOW())</f>
        <v/>
      </c>
    </row>
    <row r="232">
      <c r="A232" s="5">
        <f>IF(B232="","","MIN-"&amp;TEXT(ROW()-1,"0000"))</f>
        <v/>
      </c>
      <c r="L232" s="5">
        <f>IF(B232="","",NOW())</f>
        <v/>
      </c>
    </row>
    <row r="233">
      <c r="A233" s="5">
        <f>IF(B233="","","MIN-"&amp;TEXT(ROW()-1,"0000"))</f>
        <v/>
      </c>
      <c r="L233" s="5">
        <f>IF(B233="","",NOW())</f>
        <v/>
      </c>
    </row>
    <row r="234">
      <c r="A234" s="5">
        <f>IF(B234="","","MIN-"&amp;TEXT(ROW()-1,"0000"))</f>
        <v/>
      </c>
      <c r="L234" s="5">
        <f>IF(B234="","",NOW())</f>
        <v/>
      </c>
    </row>
    <row r="235">
      <c r="A235" s="5">
        <f>IF(B235="","","MIN-"&amp;TEXT(ROW()-1,"0000"))</f>
        <v/>
      </c>
      <c r="L235" s="5">
        <f>IF(B235="","",NOW())</f>
        <v/>
      </c>
    </row>
    <row r="236">
      <c r="A236" s="5">
        <f>IF(B236="","","MIN-"&amp;TEXT(ROW()-1,"0000"))</f>
        <v/>
      </c>
      <c r="L236" s="5">
        <f>IF(B236="","",NOW())</f>
        <v/>
      </c>
    </row>
    <row r="237">
      <c r="A237" s="5">
        <f>IF(B237="","","MIN-"&amp;TEXT(ROW()-1,"0000"))</f>
        <v/>
      </c>
      <c r="L237" s="5">
        <f>IF(B237="","",NOW())</f>
        <v/>
      </c>
    </row>
    <row r="238">
      <c r="A238" s="5">
        <f>IF(B238="","","MIN-"&amp;TEXT(ROW()-1,"0000"))</f>
        <v/>
      </c>
      <c r="L238" s="5">
        <f>IF(B238="","",NOW())</f>
        <v/>
      </c>
    </row>
    <row r="239">
      <c r="A239" s="5">
        <f>IF(B239="","","MIN-"&amp;TEXT(ROW()-1,"0000"))</f>
        <v/>
      </c>
      <c r="L239" s="5">
        <f>IF(B239="","",NOW())</f>
        <v/>
      </c>
    </row>
    <row r="240">
      <c r="A240" s="5">
        <f>IF(B240="","","MIN-"&amp;TEXT(ROW()-1,"0000"))</f>
        <v/>
      </c>
      <c r="L240" s="5">
        <f>IF(B240="","",NOW())</f>
        <v/>
      </c>
    </row>
    <row r="241">
      <c r="A241" s="5">
        <f>IF(B241="","","MIN-"&amp;TEXT(ROW()-1,"0000"))</f>
        <v/>
      </c>
      <c r="L241" s="5">
        <f>IF(B241="","",NOW())</f>
        <v/>
      </c>
    </row>
    <row r="242">
      <c r="A242" s="5">
        <f>IF(B242="","","MIN-"&amp;TEXT(ROW()-1,"0000"))</f>
        <v/>
      </c>
      <c r="L242" s="5">
        <f>IF(B242="","",NOW())</f>
        <v/>
      </c>
    </row>
    <row r="243">
      <c r="A243" s="5">
        <f>IF(B243="","","MIN-"&amp;TEXT(ROW()-1,"0000"))</f>
        <v/>
      </c>
      <c r="L243" s="5">
        <f>IF(B243="","",NOW())</f>
        <v/>
      </c>
    </row>
    <row r="244">
      <c r="A244" s="5">
        <f>IF(B244="","","MIN-"&amp;TEXT(ROW()-1,"0000"))</f>
        <v/>
      </c>
      <c r="L244" s="5">
        <f>IF(B244="","",NOW())</f>
        <v/>
      </c>
    </row>
    <row r="245">
      <c r="A245" s="5">
        <f>IF(B245="","","MIN-"&amp;TEXT(ROW()-1,"0000"))</f>
        <v/>
      </c>
      <c r="L245" s="5">
        <f>IF(B245="","",NOW())</f>
        <v/>
      </c>
    </row>
    <row r="246">
      <c r="A246" s="5">
        <f>IF(B246="","","MIN-"&amp;TEXT(ROW()-1,"0000"))</f>
        <v/>
      </c>
      <c r="L246" s="5">
        <f>IF(B246="","",NOW())</f>
        <v/>
      </c>
    </row>
    <row r="247">
      <c r="A247" s="5">
        <f>IF(B247="","","MIN-"&amp;TEXT(ROW()-1,"0000"))</f>
        <v/>
      </c>
      <c r="L247" s="5">
        <f>IF(B247="","",NOW())</f>
        <v/>
      </c>
    </row>
    <row r="248">
      <c r="A248" s="5">
        <f>IF(B248="","","MIN-"&amp;TEXT(ROW()-1,"0000"))</f>
        <v/>
      </c>
      <c r="L248" s="5">
        <f>IF(B248="","",NOW())</f>
        <v/>
      </c>
    </row>
    <row r="249">
      <c r="A249" s="5">
        <f>IF(B249="","","MIN-"&amp;TEXT(ROW()-1,"0000"))</f>
        <v/>
      </c>
      <c r="L249" s="5">
        <f>IF(B249="","",NOW())</f>
        <v/>
      </c>
    </row>
    <row r="250">
      <c r="A250" s="5">
        <f>IF(B250="","","MIN-"&amp;TEXT(ROW()-1,"0000"))</f>
        <v/>
      </c>
      <c r="L250" s="5">
        <f>IF(B250="","",NOW())</f>
        <v/>
      </c>
    </row>
    <row r="251">
      <c r="A251" s="5">
        <f>IF(B251="","","MIN-"&amp;TEXT(ROW()-1,"0000"))</f>
        <v/>
      </c>
      <c r="L251" s="5">
        <f>IF(B251="","",NOW())</f>
        <v/>
      </c>
    </row>
    <row r="252">
      <c r="A252" s="5">
        <f>IF(B252="","","MIN-"&amp;TEXT(ROW()-1,"0000"))</f>
        <v/>
      </c>
      <c r="L252" s="5">
        <f>IF(B252="","",NOW())</f>
        <v/>
      </c>
    </row>
    <row r="253">
      <c r="A253" s="5">
        <f>IF(B253="","","MIN-"&amp;TEXT(ROW()-1,"0000"))</f>
        <v/>
      </c>
      <c r="L253" s="5">
        <f>IF(B253="","",NOW())</f>
        <v/>
      </c>
    </row>
    <row r="254">
      <c r="A254" s="5">
        <f>IF(B254="","","MIN-"&amp;TEXT(ROW()-1,"0000"))</f>
        <v/>
      </c>
      <c r="L254" s="5">
        <f>IF(B254="","",NOW())</f>
        <v/>
      </c>
    </row>
    <row r="255">
      <c r="A255" s="5">
        <f>IF(B255="","","MIN-"&amp;TEXT(ROW()-1,"0000"))</f>
        <v/>
      </c>
      <c r="L255" s="5">
        <f>IF(B255="","",NOW())</f>
        <v/>
      </c>
    </row>
    <row r="256">
      <c r="A256" s="5">
        <f>IF(B256="","","MIN-"&amp;TEXT(ROW()-1,"0000"))</f>
        <v/>
      </c>
      <c r="L256" s="5">
        <f>IF(B256="","",NOW())</f>
        <v/>
      </c>
    </row>
    <row r="257">
      <c r="A257" s="5">
        <f>IF(B257="","","MIN-"&amp;TEXT(ROW()-1,"0000"))</f>
        <v/>
      </c>
      <c r="L257" s="5">
        <f>IF(B257="","",NOW())</f>
        <v/>
      </c>
    </row>
    <row r="258">
      <c r="A258" s="5">
        <f>IF(B258="","","MIN-"&amp;TEXT(ROW()-1,"0000"))</f>
        <v/>
      </c>
      <c r="L258" s="5">
        <f>IF(B258="","",NOW())</f>
        <v/>
      </c>
    </row>
    <row r="259">
      <c r="A259" s="5">
        <f>IF(B259="","","MIN-"&amp;TEXT(ROW()-1,"0000"))</f>
        <v/>
      </c>
      <c r="L259" s="5">
        <f>IF(B259="","",NOW())</f>
        <v/>
      </c>
    </row>
    <row r="260">
      <c r="A260" s="5">
        <f>IF(B260="","","MIN-"&amp;TEXT(ROW()-1,"0000"))</f>
        <v/>
      </c>
      <c r="L260" s="5">
        <f>IF(B260="","",NOW())</f>
        <v/>
      </c>
    </row>
    <row r="261">
      <c r="A261" s="5">
        <f>IF(B261="","","MIN-"&amp;TEXT(ROW()-1,"0000"))</f>
        <v/>
      </c>
      <c r="L261" s="5">
        <f>IF(B261="","",NOW())</f>
        <v/>
      </c>
    </row>
    <row r="262">
      <c r="A262" s="5">
        <f>IF(B262="","","MIN-"&amp;TEXT(ROW()-1,"0000"))</f>
        <v/>
      </c>
      <c r="L262" s="5">
        <f>IF(B262="","",NOW())</f>
        <v/>
      </c>
    </row>
    <row r="263">
      <c r="A263" s="5">
        <f>IF(B263="","","MIN-"&amp;TEXT(ROW()-1,"0000"))</f>
        <v/>
      </c>
      <c r="L263" s="5">
        <f>IF(B263="","",NOW())</f>
        <v/>
      </c>
    </row>
    <row r="264">
      <c r="A264" s="5">
        <f>IF(B264="","","MIN-"&amp;TEXT(ROW()-1,"0000"))</f>
        <v/>
      </c>
      <c r="L264" s="5">
        <f>IF(B264="","",NOW())</f>
        <v/>
      </c>
    </row>
    <row r="265">
      <c r="A265" s="5">
        <f>IF(B265="","","MIN-"&amp;TEXT(ROW()-1,"0000"))</f>
        <v/>
      </c>
      <c r="L265" s="5">
        <f>IF(B265="","",NOW())</f>
        <v/>
      </c>
    </row>
    <row r="266">
      <c r="A266" s="5">
        <f>IF(B266="","","MIN-"&amp;TEXT(ROW()-1,"0000"))</f>
        <v/>
      </c>
      <c r="L266" s="5">
        <f>IF(B266="","",NOW())</f>
        <v/>
      </c>
    </row>
    <row r="267">
      <c r="A267" s="5">
        <f>IF(B267="","","MIN-"&amp;TEXT(ROW()-1,"0000"))</f>
        <v/>
      </c>
      <c r="L267" s="5">
        <f>IF(B267="","",NOW())</f>
        <v/>
      </c>
    </row>
    <row r="268">
      <c r="A268" s="5">
        <f>IF(B268="","","MIN-"&amp;TEXT(ROW()-1,"0000"))</f>
        <v/>
      </c>
      <c r="L268" s="5">
        <f>IF(B268="","",NOW())</f>
        <v/>
      </c>
    </row>
    <row r="269">
      <c r="A269" s="5">
        <f>IF(B269="","","MIN-"&amp;TEXT(ROW()-1,"0000"))</f>
        <v/>
      </c>
      <c r="L269" s="5">
        <f>IF(B269="","",NOW())</f>
        <v/>
      </c>
    </row>
    <row r="270">
      <c r="A270" s="5">
        <f>IF(B270="","","MIN-"&amp;TEXT(ROW()-1,"0000"))</f>
        <v/>
      </c>
      <c r="L270" s="5">
        <f>IF(B270="","",NOW())</f>
        <v/>
      </c>
    </row>
    <row r="271">
      <c r="A271" s="5">
        <f>IF(B271="","","MIN-"&amp;TEXT(ROW()-1,"0000"))</f>
        <v/>
      </c>
      <c r="L271" s="5">
        <f>IF(B271="","",NOW())</f>
        <v/>
      </c>
    </row>
    <row r="272">
      <c r="A272" s="5">
        <f>IF(B272="","","MIN-"&amp;TEXT(ROW()-1,"0000"))</f>
        <v/>
      </c>
      <c r="L272" s="5">
        <f>IF(B272="","",NOW())</f>
        <v/>
      </c>
    </row>
    <row r="273">
      <c r="A273" s="5">
        <f>IF(B273="","","MIN-"&amp;TEXT(ROW()-1,"0000"))</f>
        <v/>
      </c>
      <c r="L273" s="5">
        <f>IF(B273="","",NOW())</f>
        <v/>
      </c>
    </row>
    <row r="274">
      <c r="A274" s="5">
        <f>IF(B274="","","MIN-"&amp;TEXT(ROW()-1,"0000"))</f>
        <v/>
      </c>
      <c r="L274" s="5">
        <f>IF(B274="","",NOW())</f>
        <v/>
      </c>
    </row>
    <row r="275">
      <c r="A275" s="5">
        <f>IF(B275="","","MIN-"&amp;TEXT(ROW()-1,"0000"))</f>
        <v/>
      </c>
      <c r="L275" s="5">
        <f>IF(B275="","",NOW())</f>
        <v/>
      </c>
    </row>
    <row r="276">
      <c r="A276" s="5">
        <f>IF(B276="","","MIN-"&amp;TEXT(ROW()-1,"0000"))</f>
        <v/>
      </c>
      <c r="L276" s="5">
        <f>IF(B276="","",NOW())</f>
        <v/>
      </c>
    </row>
    <row r="277">
      <c r="A277" s="5">
        <f>IF(B277="","","MIN-"&amp;TEXT(ROW()-1,"0000"))</f>
        <v/>
      </c>
      <c r="L277" s="5">
        <f>IF(B277="","",NOW())</f>
        <v/>
      </c>
    </row>
    <row r="278">
      <c r="A278" s="5">
        <f>IF(B278="","","MIN-"&amp;TEXT(ROW()-1,"0000"))</f>
        <v/>
      </c>
      <c r="L278" s="5">
        <f>IF(B278="","",NOW())</f>
        <v/>
      </c>
    </row>
    <row r="279">
      <c r="A279" s="5">
        <f>IF(B279="","","MIN-"&amp;TEXT(ROW()-1,"0000"))</f>
        <v/>
      </c>
      <c r="L279" s="5">
        <f>IF(B279="","",NOW())</f>
        <v/>
      </c>
    </row>
    <row r="280">
      <c r="A280" s="5">
        <f>IF(B280="","","MIN-"&amp;TEXT(ROW()-1,"0000"))</f>
        <v/>
      </c>
      <c r="L280" s="5">
        <f>IF(B280="","",NOW())</f>
        <v/>
      </c>
    </row>
    <row r="281">
      <c r="A281" s="5">
        <f>IF(B281="","","MIN-"&amp;TEXT(ROW()-1,"0000"))</f>
        <v/>
      </c>
      <c r="L281" s="5">
        <f>IF(B281="","",NOW())</f>
        <v/>
      </c>
    </row>
    <row r="282">
      <c r="A282" s="5">
        <f>IF(B282="","","MIN-"&amp;TEXT(ROW()-1,"0000"))</f>
        <v/>
      </c>
      <c r="L282" s="5">
        <f>IF(B282="","",NOW())</f>
        <v/>
      </c>
    </row>
    <row r="283">
      <c r="A283" s="5">
        <f>IF(B283="","","MIN-"&amp;TEXT(ROW()-1,"0000"))</f>
        <v/>
      </c>
      <c r="L283" s="5">
        <f>IF(B283="","",NOW())</f>
        <v/>
      </c>
    </row>
    <row r="284">
      <c r="A284" s="5">
        <f>IF(B284="","","MIN-"&amp;TEXT(ROW()-1,"0000"))</f>
        <v/>
      </c>
      <c r="L284" s="5">
        <f>IF(B284="","",NOW())</f>
        <v/>
      </c>
    </row>
    <row r="285">
      <c r="A285" s="5">
        <f>IF(B285="","","MIN-"&amp;TEXT(ROW()-1,"0000"))</f>
        <v/>
      </c>
      <c r="L285" s="5">
        <f>IF(B285="","",NOW())</f>
        <v/>
      </c>
    </row>
    <row r="286">
      <c r="A286" s="5">
        <f>IF(B286="","","MIN-"&amp;TEXT(ROW()-1,"0000"))</f>
        <v/>
      </c>
      <c r="L286" s="5">
        <f>IF(B286="","",NOW())</f>
        <v/>
      </c>
    </row>
    <row r="287">
      <c r="A287" s="5">
        <f>IF(B287="","","MIN-"&amp;TEXT(ROW()-1,"0000"))</f>
        <v/>
      </c>
      <c r="L287" s="5">
        <f>IF(B287="","",NOW())</f>
        <v/>
      </c>
    </row>
    <row r="288">
      <c r="A288" s="5">
        <f>IF(B288="","","MIN-"&amp;TEXT(ROW()-1,"0000"))</f>
        <v/>
      </c>
      <c r="L288" s="5">
        <f>IF(B288="","",NOW())</f>
        <v/>
      </c>
    </row>
    <row r="289">
      <c r="A289" s="5">
        <f>IF(B289="","","MIN-"&amp;TEXT(ROW()-1,"0000"))</f>
        <v/>
      </c>
      <c r="L289" s="5">
        <f>IF(B289="","",NOW())</f>
        <v/>
      </c>
    </row>
    <row r="290">
      <c r="A290" s="5">
        <f>IF(B290="","","MIN-"&amp;TEXT(ROW()-1,"0000"))</f>
        <v/>
      </c>
      <c r="L290" s="5">
        <f>IF(B290="","",NOW())</f>
        <v/>
      </c>
    </row>
    <row r="291">
      <c r="A291" s="5">
        <f>IF(B291="","","MIN-"&amp;TEXT(ROW()-1,"0000"))</f>
        <v/>
      </c>
      <c r="L291" s="5">
        <f>IF(B291="","",NOW())</f>
        <v/>
      </c>
    </row>
    <row r="292">
      <c r="A292" s="5">
        <f>IF(B292="","","MIN-"&amp;TEXT(ROW()-1,"0000"))</f>
        <v/>
      </c>
      <c r="L292" s="5">
        <f>IF(B292="","",NOW())</f>
        <v/>
      </c>
    </row>
    <row r="293">
      <c r="A293" s="5">
        <f>IF(B293="","","MIN-"&amp;TEXT(ROW()-1,"0000"))</f>
        <v/>
      </c>
      <c r="L293" s="5">
        <f>IF(B293="","",NOW())</f>
        <v/>
      </c>
    </row>
    <row r="294">
      <c r="A294" s="5">
        <f>IF(B294="","","MIN-"&amp;TEXT(ROW()-1,"0000"))</f>
        <v/>
      </c>
      <c r="L294" s="5">
        <f>IF(B294="","",NOW())</f>
        <v/>
      </c>
    </row>
    <row r="295">
      <c r="A295" s="5">
        <f>IF(B295="","","MIN-"&amp;TEXT(ROW()-1,"0000"))</f>
        <v/>
      </c>
      <c r="L295" s="5">
        <f>IF(B295="","",NOW())</f>
        <v/>
      </c>
    </row>
    <row r="296">
      <c r="A296" s="5">
        <f>IF(B296="","","MIN-"&amp;TEXT(ROW()-1,"0000"))</f>
        <v/>
      </c>
      <c r="L296" s="5">
        <f>IF(B296="","",NOW())</f>
        <v/>
      </c>
    </row>
    <row r="297">
      <c r="A297" s="5">
        <f>IF(B297="","","MIN-"&amp;TEXT(ROW()-1,"0000"))</f>
        <v/>
      </c>
      <c r="L297" s="5">
        <f>IF(B297="","",NOW())</f>
        <v/>
      </c>
    </row>
    <row r="298">
      <c r="A298" s="5">
        <f>IF(B298="","","MIN-"&amp;TEXT(ROW()-1,"0000"))</f>
        <v/>
      </c>
      <c r="L298" s="5">
        <f>IF(B298="","",NOW())</f>
        <v/>
      </c>
    </row>
    <row r="299">
      <c r="A299" s="5">
        <f>IF(B299="","","MIN-"&amp;TEXT(ROW()-1,"0000"))</f>
        <v/>
      </c>
      <c r="L299" s="5">
        <f>IF(B299="","",NOW())</f>
        <v/>
      </c>
    </row>
    <row r="300">
      <c r="A300" s="5">
        <f>IF(B300="","","MIN-"&amp;TEXT(ROW()-1,"0000"))</f>
        <v/>
      </c>
      <c r="L300" s="5">
        <f>IF(B300="","",NOW())</f>
        <v/>
      </c>
    </row>
    <row r="301">
      <c r="A301" s="5">
        <f>IF(B301="","","MIN-"&amp;TEXT(ROW()-1,"0000"))</f>
        <v/>
      </c>
      <c r="L301" s="5">
        <f>IF(B301="","",NOW())</f>
        <v/>
      </c>
    </row>
    <row r="302">
      <c r="A302" s="5">
        <f>IF(B302="","","MIN-"&amp;TEXT(ROW()-1,"0000"))</f>
        <v/>
      </c>
      <c r="L302" s="5">
        <f>IF(B302="","",NOW())</f>
        <v/>
      </c>
    </row>
    <row r="303">
      <c r="A303" s="5">
        <f>IF(B303="","","MIN-"&amp;TEXT(ROW()-1,"0000"))</f>
        <v/>
      </c>
      <c r="L303" s="5">
        <f>IF(B303="","",NOW())</f>
        <v/>
      </c>
    </row>
    <row r="304">
      <c r="A304" s="5">
        <f>IF(B304="","","MIN-"&amp;TEXT(ROW()-1,"0000"))</f>
        <v/>
      </c>
      <c r="L304" s="5">
        <f>IF(B304="","",NOW())</f>
        <v/>
      </c>
    </row>
    <row r="305">
      <c r="A305" s="5">
        <f>IF(B305="","","MIN-"&amp;TEXT(ROW()-1,"0000"))</f>
        <v/>
      </c>
      <c r="L305" s="5">
        <f>IF(B305="","",NOW())</f>
        <v/>
      </c>
    </row>
    <row r="306">
      <c r="A306" s="5">
        <f>IF(B306="","","MIN-"&amp;TEXT(ROW()-1,"0000"))</f>
        <v/>
      </c>
      <c r="L306" s="5">
        <f>IF(B306="","",NOW())</f>
        <v/>
      </c>
    </row>
    <row r="307">
      <c r="A307" s="5">
        <f>IF(B307="","","MIN-"&amp;TEXT(ROW()-1,"0000"))</f>
        <v/>
      </c>
      <c r="L307" s="5">
        <f>IF(B307="","",NOW())</f>
        <v/>
      </c>
    </row>
    <row r="308">
      <c r="A308" s="5">
        <f>IF(B308="","","MIN-"&amp;TEXT(ROW()-1,"0000"))</f>
        <v/>
      </c>
      <c r="L308" s="5">
        <f>IF(B308="","",NOW())</f>
        <v/>
      </c>
    </row>
    <row r="309">
      <c r="A309" s="5">
        <f>IF(B309="","","MIN-"&amp;TEXT(ROW()-1,"0000"))</f>
        <v/>
      </c>
      <c r="L309" s="5">
        <f>IF(B309="","",NOW())</f>
        <v/>
      </c>
    </row>
    <row r="310">
      <c r="A310" s="5">
        <f>IF(B310="","","MIN-"&amp;TEXT(ROW()-1,"0000"))</f>
        <v/>
      </c>
      <c r="L310" s="5">
        <f>IF(B310="","",NOW())</f>
        <v/>
      </c>
    </row>
    <row r="311">
      <c r="A311" s="5">
        <f>IF(B311="","","MIN-"&amp;TEXT(ROW()-1,"0000"))</f>
        <v/>
      </c>
      <c r="L311" s="5">
        <f>IF(B311="","",NOW())</f>
        <v/>
      </c>
    </row>
    <row r="312">
      <c r="A312" s="5">
        <f>IF(B312="","","MIN-"&amp;TEXT(ROW()-1,"0000"))</f>
        <v/>
      </c>
      <c r="L312" s="5">
        <f>IF(B312="","",NOW())</f>
        <v/>
      </c>
    </row>
    <row r="313">
      <c r="A313" s="5">
        <f>IF(B313="","","MIN-"&amp;TEXT(ROW()-1,"0000"))</f>
        <v/>
      </c>
      <c r="L313" s="5">
        <f>IF(B313="","",NOW())</f>
        <v/>
      </c>
    </row>
    <row r="314">
      <c r="A314" s="5">
        <f>IF(B314="","","MIN-"&amp;TEXT(ROW()-1,"0000"))</f>
        <v/>
      </c>
      <c r="L314" s="5">
        <f>IF(B314="","",NOW())</f>
        <v/>
      </c>
    </row>
    <row r="315">
      <c r="A315" s="5">
        <f>IF(B315="","","MIN-"&amp;TEXT(ROW()-1,"0000"))</f>
        <v/>
      </c>
      <c r="L315" s="5">
        <f>IF(B315="","",NOW())</f>
        <v/>
      </c>
    </row>
    <row r="316">
      <c r="A316" s="5">
        <f>IF(B316="","","MIN-"&amp;TEXT(ROW()-1,"0000"))</f>
        <v/>
      </c>
      <c r="L316" s="5">
        <f>IF(B316="","",NOW())</f>
        <v/>
      </c>
    </row>
    <row r="317">
      <c r="A317" s="5">
        <f>IF(B317="","","MIN-"&amp;TEXT(ROW()-1,"0000"))</f>
        <v/>
      </c>
      <c r="L317" s="5">
        <f>IF(B317="","",NOW())</f>
        <v/>
      </c>
    </row>
    <row r="318">
      <c r="A318" s="5">
        <f>IF(B318="","","MIN-"&amp;TEXT(ROW()-1,"0000"))</f>
        <v/>
      </c>
      <c r="L318" s="5">
        <f>IF(B318="","",NOW())</f>
        <v/>
      </c>
    </row>
    <row r="319">
      <c r="A319" s="5">
        <f>IF(B319="","","MIN-"&amp;TEXT(ROW()-1,"0000"))</f>
        <v/>
      </c>
      <c r="L319" s="5">
        <f>IF(B319="","",NOW())</f>
        <v/>
      </c>
    </row>
    <row r="320">
      <c r="A320" s="5">
        <f>IF(B320="","","MIN-"&amp;TEXT(ROW()-1,"0000"))</f>
        <v/>
      </c>
      <c r="L320" s="5">
        <f>IF(B320="","",NOW())</f>
        <v/>
      </c>
    </row>
    <row r="321">
      <c r="A321" s="5">
        <f>IF(B321="","","MIN-"&amp;TEXT(ROW()-1,"0000"))</f>
        <v/>
      </c>
      <c r="L321" s="5">
        <f>IF(B321="","",NOW())</f>
        <v/>
      </c>
    </row>
    <row r="322">
      <c r="A322" s="5">
        <f>IF(B322="","","MIN-"&amp;TEXT(ROW()-1,"0000"))</f>
        <v/>
      </c>
      <c r="L322" s="5">
        <f>IF(B322="","",NOW())</f>
        <v/>
      </c>
    </row>
    <row r="323">
      <c r="A323" s="5">
        <f>IF(B323="","","MIN-"&amp;TEXT(ROW()-1,"0000"))</f>
        <v/>
      </c>
      <c r="L323" s="5">
        <f>IF(B323="","",NOW())</f>
        <v/>
      </c>
    </row>
    <row r="324">
      <c r="A324" s="5">
        <f>IF(B324="","","MIN-"&amp;TEXT(ROW()-1,"0000"))</f>
        <v/>
      </c>
      <c r="L324" s="5">
        <f>IF(B324="","",NOW())</f>
        <v/>
      </c>
    </row>
    <row r="325">
      <c r="A325" s="5">
        <f>IF(B325="","","MIN-"&amp;TEXT(ROW()-1,"0000"))</f>
        <v/>
      </c>
      <c r="L325" s="5">
        <f>IF(B325="","",NOW())</f>
        <v/>
      </c>
    </row>
    <row r="326">
      <c r="A326" s="5">
        <f>IF(B326="","","MIN-"&amp;TEXT(ROW()-1,"0000"))</f>
        <v/>
      </c>
      <c r="L326" s="5">
        <f>IF(B326="","",NOW())</f>
        <v/>
      </c>
    </row>
    <row r="327">
      <c r="A327" s="5">
        <f>IF(B327="","","MIN-"&amp;TEXT(ROW()-1,"0000"))</f>
        <v/>
      </c>
      <c r="L327" s="5">
        <f>IF(B327="","",NOW())</f>
        <v/>
      </c>
    </row>
    <row r="328">
      <c r="A328" s="5">
        <f>IF(B328="","","MIN-"&amp;TEXT(ROW()-1,"0000"))</f>
        <v/>
      </c>
      <c r="L328" s="5">
        <f>IF(B328="","",NOW())</f>
        <v/>
      </c>
    </row>
    <row r="329">
      <c r="A329" s="5">
        <f>IF(B329="","","MIN-"&amp;TEXT(ROW()-1,"0000"))</f>
        <v/>
      </c>
      <c r="L329" s="5">
        <f>IF(B329="","",NOW())</f>
        <v/>
      </c>
    </row>
    <row r="330">
      <c r="A330" s="5">
        <f>IF(B330="","","MIN-"&amp;TEXT(ROW()-1,"0000"))</f>
        <v/>
      </c>
      <c r="L330" s="5">
        <f>IF(B330="","",NOW())</f>
        <v/>
      </c>
    </row>
    <row r="331">
      <c r="A331" s="5">
        <f>IF(B331="","","MIN-"&amp;TEXT(ROW()-1,"0000"))</f>
        <v/>
      </c>
      <c r="L331" s="5">
        <f>IF(B331="","",NOW())</f>
        <v/>
      </c>
    </row>
    <row r="332">
      <c r="A332" s="5">
        <f>IF(B332="","","MIN-"&amp;TEXT(ROW()-1,"0000"))</f>
        <v/>
      </c>
      <c r="L332" s="5">
        <f>IF(B332="","",NOW())</f>
        <v/>
      </c>
    </row>
    <row r="333">
      <c r="A333" s="5">
        <f>IF(B333="","","MIN-"&amp;TEXT(ROW()-1,"0000"))</f>
        <v/>
      </c>
      <c r="L333" s="5">
        <f>IF(B333="","",NOW())</f>
        <v/>
      </c>
    </row>
    <row r="334">
      <c r="A334" s="5">
        <f>IF(B334="","","MIN-"&amp;TEXT(ROW()-1,"0000"))</f>
        <v/>
      </c>
      <c r="L334" s="5">
        <f>IF(B334="","",NOW())</f>
        <v/>
      </c>
    </row>
    <row r="335">
      <c r="A335" s="5">
        <f>IF(B335="","","MIN-"&amp;TEXT(ROW()-1,"0000"))</f>
        <v/>
      </c>
      <c r="L335" s="5">
        <f>IF(B335="","",NOW())</f>
        <v/>
      </c>
    </row>
    <row r="336">
      <c r="A336" s="5">
        <f>IF(B336="","","MIN-"&amp;TEXT(ROW()-1,"0000"))</f>
        <v/>
      </c>
      <c r="L336" s="5">
        <f>IF(B336="","",NOW())</f>
        <v/>
      </c>
    </row>
    <row r="337">
      <c r="A337" s="5">
        <f>IF(B337="","","MIN-"&amp;TEXT(ROW()-1,"0000"))</f>
        <v/>
      </c>
      <c r="L337" s="5">
        <f>IF(B337="","",NOW())</f>
        <v/>
      </c>
    </row>
    <row r="338">
      <c r="A338" s="5">
        <f>IF(B338="","","MIN-"&amp;TEXT(ROW()-1,"0000"))</f>
        <v/>
      </c>
      <c r="L338" s="5">
        <f>IF(B338="","",NOW())</f>
        <v/>
      </c>
    </row>
    <row r="339">
      <c r="A339" s="5">
        <f>IF(B339="","","MIN-"&amp;TEXT(ROW()-1,"0000"))</f>
        <v/>
      </c>
      <c r="L339" s="5">
        <f>IF(B339="","",NOW())</f>
        <v/>
      </c>
    </row>
    <row r="340">
      <c r="A340" s="5">
        <f>IF(B340="","","MIN-"&amp;TEXT(ROW()-1,"0000"))</f>
        <v/>
      </c>
      <c r="L340" s="5">
        <f>IF(B340="","",NOW())</f>
        <v/>
      </c>
    </row>
    <row r="341">
      <c r="A341" s="5">
        <f>IF(B341="","","MIN-"&amp;TEXT(ROW()-1,"0000"))</f>
        <v/>
      </c>
      <c r="L341" s="5">
        <f>IF(B341="","",NOW())</f>
        <v/>
      </c>
    </row>
    <row r="342">
      <c r="A342" s="5">
        <f>IF(B342="","","MIN-"&amp;TEXT(ROW()-1,"0000"))</f>
        <v/>
      </c>
      <c r="L342" s="5">
        <f>IF(B342="","",NOW())</f>
        <v/>
      </c>
    </row>
    <row r="343">
      <c r="A343" s="5">
        <f>IF(B343="","","MIN-"&amp;TEXT(ROW()-1,"0000"))</f>
        <v/>
      </c>
      <c r="L343" s="5">
        <f>IF(B343="","",NOW())</f>
        <v/>
      </c>
    </row>
    <row r="344">
      <c r="A344" s="5">
        <f>IF(B344="","","MIN-"&amp;TEXT(ROW()-1,"0000"))</f>
        <v/>
      </c>
      <c r="L344" s="5">
        <f>IF(B344="","",NOW())</f>
        <v/>
      </c>
    </row>
    <row r="345">
      <c r="A345" s="5">
        <f>IF(B345="","","MIN-"&amp;TEXT(ROW()-1,"0000"))</f>
        <v/>
      </c>
      <c r="L345" s="5">
        <f>IF(B345="","",NOW())</f>
        <v/>
      </c>
    </row>
    <row r="346">
      <c r="A346" s="5">
        <f>IF(B346="","","MIN-"&amp;TEXT(ROW()-1,"0000"))</f>
        <v/>
      </c>
      <c r="L346" s="5">
        <f>IF(B346="","",NOW())</f>
        <v/>
      </c>
    </row>
    <row r="347">
      <c r="A347" s="5">
        <f>IF(B347="","","MIN-"&amp;TEXT(ROW()-1,"0000"))</f>
        <v/>
      </c>
      <c r="L347" s="5">
        <f>IF(B347="","",NOW())</f>
        <v/>
      </c>
    </row>
    <row r="348">
      <c r="A348" s="5">
        <f>IF(B348="","","MIN-"&amp;TEXT(ROW()-1,"0000"))</f>
        <v/>
      </c>
      <c r="L348" s="5">
        <f>IF(B348="","",NOW())</f>
        <v/>
      </c>
    </row>
    <row r="349">
      <c r="A349" s="5">
        <f>IF(B349="","","MIN-"&amp;TEXT(ROW()-1,"0000"))</f>
        <v/>
      </c>
      <c r="L349" s="5">
        <f>IF(B349="","",NOW())</f>
        <v/>
      </c>
    </row>
    <row r="350">
      <c r="A350" s="5">
        <f>IF(B350="","","MIN-"&amp;TEXT(ROW()-1,"0000"))</f>
        <v/>
      </c>
      <c r="L350" s="5">
        <f>IF(B350="","",NOW())</f>
        <v/>
      </c>
    </row>
    <row r="351">
      <c r="A351" s="5">
        <f>IF(B351="","","MIN-"&amp;TEXT(ROW()-1,"0000"))</f>
        <v/>
      </c>
      <c r="L351" s="5">
        <f>IF(B351="","",NOW())</f>
        <v/>
      </c>
    </row>
    <row r="352">
      <c r="A352" s="5">
        <f>IF(B352="","","MIN-"&amp;TEXT(ROW()-1,"0000"))</f>
        <v/>
      </c>
      <c r="L352" s="5">
        <f>IF(B352="","",NOW())</f>
        <v/>
      </c>
    </row>
    <row r="353">
      <c r="A353" s="5">
        <f>IF(B353="","","MIN-"&amp;TEXT(ROW()-1,"0000"))</f>
        <v/>
      </c>
      <c r="L353" s="5">
        <f>IF(B353="","",NOW())</f>
        <v/>
      </c>
    </row>
    <row r="354">
      <c r="A354" s="5">
        <f>IF(B354="","","MIN-"&amp;TEXT(ROW()-1,"0000"))</f>
        <v/>
      </c>
      <c r="L354" s="5">
        <f>IF(B354="","",NOW())</f>
        <v/>
      </c>
    </row>
    <row r="355">
      <c r="A355" s="5">
        <f>IF(B355="","","MIN-"&amp;TEXT(ROW()-1,"0000"))</f>
        <v/>
      </c>
      <c r="L355" s="5">
        <f>IF(B355="","",NOW())</f>
        <v/>
      </c>
    </row>
    <row r="356">
      <c r="A356" s="5">
        <f>IF(B356="","","MIN-"&amp;TEXT(ROW()-1,"0000"))</f>
        <v/>
      </c>
      <c r="L356" s="5">
        <f>IF(B356="","",NOW())</f>
        <v/>
      </c>
    </row>
    <row r="357">
      <c r="A357" s="5">
        <f>IF(B357="","","MIN-"&amp;TEXT(ROW()-1,"0000"))</f>
        <v/>
      </c>
      <c r="L357" s="5">
        <f>IF(B357="","",NOW())</f>
        <v/>
      </c>
    </row>
    <row r="358">
      <c r="A358" s="5">
        <f>IF(B358="","","MIN-"&amp;TEXT(ROW()-1,"0000"))</f>
        <v/>
      </c>
      <c r="L358" s="5">
        <f>IF(B358="","",NOW())</f>
        <v/>
      </c>
    </row>
    <row r="359">
      <c r="A359" s="5">
        <f>IF(B359="","","MIN-"&amp;TEXT(ROW()-1,"0000"))</f>
        <v/>
      </c>
      <c r="L359" s="5">
        <f>IF(B359="","",NOW())</f>
        <v/>
      </c>
    </row>
    <row r="360">
      <c r="A360" s="5">
        <f>IF(B360="","","MIN-"&amp;TEXT(ROW()-1,"0000"))</f>
        <v/>
      </c>
      <c r="L360" s="5">
        <f>IF(B360="","",NOW())</f>
        <v/>
      </c>
    </row>
    <row r="361">
      <c r="A361" s="5">
        <f>IF(B361="","","MIN-"&amp;TEXT(ROW()-1,"0000"))</f>
        <v/>
      </c>
      <c r="L361" s="5">
        <f>IF(B361="","",NOW())</f>
        <v/>
      </c>
    </row>
    <row r="362">
      <c r="A362" s="5">
        <f>IF(B362="","","MIN-"&amp;TEXT(ROW()-1,"0000"))</f>
        <v/>
      </c>
      <c r="L362" s="5">
        <f>IF(B362="","",NOW())</f>
        <v/>
      </c>
    </row>
    <row r="363">
      <c r="A363" s="5">
        <f>IF(B363="","","MIN-"&amp;TEXT(ROW()-1,"0000"))</f>
        <v/>
      </c>
      <c r="L363" s="5">
        <f>IF(B363="","",NOW())</f>
        <v/>
      </c>
    </row>
    <row r="364">
      <c r="A364" s="5">
        <f>IF(B364="","","MIN-"&amp;TEXT(ROW()-1,"0000"))</f>
        <v/>
      </c>
      <c r="L364" s="5">
        <f>IF(B364="","",NOW())</f>
        <v/>
      </c>
    </row>
    <row r="365">
      <c r="A365" s="5">
        <f>IF(B365="","","MIN-"&amp;TEXT(ROW()-1,"0000"))</f>
        <v/>
      </c>
      <c r="L365" s="5">
        <f>IF(B365="","",NOW())</f>
        <v/>
      </c>
    </row>
    <row r="366">
      <c r="A366" s="5">
        <f>IF(B366="","","MIN-"&amp;TEXT(ROW()-1,"0000"))</f>
        <v/>
      </c>
      <c r="L366" s="5">
        <f>IF(B366="","",NOW())</f>
        <v/>
      </c>
    </row>
    <row r="367">
      <c r="A367" s="5">
        <f>IF(B367="","","MIN-"&amp;TEXT(ROW()-1,"0000"))</f>
        <v/>
      </c>
      <c r="L367" s="5">
        <f>IF(B367="","",NOW())</f>
        <v/>
      </c>
    </row>
    <row r="368">
      <c r="A368" s="5">
        <f>IF(B368="","","MIN-"&amp;TEXT(ROW()-1,"0000"))</f>
        <v/>
      </c>
      <c r="L368" s="5">
        <f>IF(B368="","",NOW())</f>
        <v/>
      </c>
    </row>
    <row r="369">
      <c r="A369" s="5">
        <f>IF(B369="","","MIN-"&amp;TEXT(ROW()-1,"0000"))</f>
        <v/>
      </c>
      <c r="L369" s="5">
        <f>IF(B369="","",NOW())</f>
        <v/>
      </c>
    </row>
    <row r="370">
      <c r="A370" s="5">
        <f>IF(B370="","","MIN-"&amp;TEXT(ROW()-1,"0000"))</f>
        <v/>
      </c>
      <c r="L370" s="5">
        <f>IF(B370="","",NOW())</f>
        <v/>
      </c>
    </row>
    <row r="371">
      <c r="A371" s="5">
        <f>IF(B371="","","MIN-"&amp;TEXT(ROW()-1,"0000"))</f>
        <v/>
      </c>
      <c r="L371" s="5">
        <f>IF(B371="","",NOW())</f>
        <v/>
      </c>
    </row>
    <row r="372">
      <c r="A372" s="5">
        <f>IF(B372="","","MIN-"&amp;TEXT(ROW()-1,"0000"))</f>
        <v/>
      </c>
      <c r="L372" s="5">
        <f>IF(B372="","",NOW())</f>
        <v/>
      </c>
    </row>
    <row r="373">
      <c r="A373" s="5">
        <f>IF(B373="","","MIN-"&amp;TEXT(ROW()-1,"0000"))</f>
        <v/>
      </c>
      <c r="L373" s="5">
        <f>IF(B373="","",NOW())</f>
        <v/>
      </c>
    </row>
    <row r="374">
      <c r="A374" s="5">
        <f>IF(B374="","","MIN-"&amp;TEXT(ROW()-1,"0000"))</f>
        <v/>
      </c>
      <c r="L374" s="5">
        <f>IF(B374="","",NOW())</f>
        <v/>
      </c>
    </row>
    <row r="375">
      <c r="A375" s="5">
        <f>IF(B375="","","MIN-"&amp;TEXT(ROW()-1,"0000"))</f>
        <v/>
      </c>
      <c r="L375" s="5">
        <f>IF(B375="","",NOW())</f>
        <v/>
      </c>
    </row>
    <row r="376">
      <c r="A376" s="5">
        <f>IF(B376="","","MIN-"&amp;TEXT(ROW()-1,"0000"))</f>
        <v/>
      </c>
      <c r="L376" s="5">
        <f>IF(B376="","",NOW())</f>
        <v/>
      </c>
    </row>
    <row r="377">
      <c r="A377" s="5">
        <f>IF(B377="","","MIN-"&amp;TEXT(ROW()-1,"0000"))</f>
        <v/>
      </c>
      <c r="L377" s="5">
        <f>IF(B377="","",NOW())</f>
        <v/>
      </c>
    </row>
    <row r="378">
      <c r="A378" s="5">
        <f>IF(B378="","","MIN-"&amp;TEXT(ROW()-1,"0000"))</f>
        <v/>
      </c>
      <c r="L378" s="5">
        <f>IF(B378="","",NOW())</f>
        <v/>
      </c>
    </row>
    <row r="379">
      <c r="A379" s="5">
        <f>IF(B379="","","MIN-"&amp;TEXT(ROW()-1,"0000"))</f>
        <v/>
      </c>
      <c r="L379" s="5">
        <f>IF(B379="","",NOW())</f>
        <v/>
      </c>
    </row>
    <row r="380">
      <c r="A380" s="5">
        <f>IF(B380="","","MIN-"&amp;TEXT(ROW()-1,"0000"))</f>
        <v/>
      </c>
      <c r="L380" s="5">
        <f>IF(B380="","",NOW())</f>
        <v/>
      </c>
    </row>
    <row r="381">
      <c r="A381" s="5">
        <f>IF(B381="","","MIN-"&amp;TEXT(ROW()-1,"0000"))</f>
        <v/>
      </c>
      <c r="L381" s="5">
        <f>IF(B381="","",NOW())</f>
        <v/>
      </c>
    </row>
    <row r="382">
      <c r="A382" s="5">
        <f>IF(B382="","","MIN-"&amp;TEXT(ROW()-1,"0000"))</f>
        <v/>
      </c>
      <c r="L382" s="5">
        <f>IF(B382="","",NOW())</f>
        <v/>
      </c>
    </row>
    <row r="383">
      <c r="A383" s="5">
        <f>IF(B383="","","MIN-"&amp;TEXT(ROW()-1,"0000"))</f>
        <v/>
      </c>
      <c r="L383" s="5">
        <f>IF(B383="","",NOW())</f>
        <v/>
      </c>
    </row>
    <row r="384">
      <c r="A384" s="5">
        <f>IF(B384="","","MIN-"&amp;TEXT(ROW()-1,"0000"))</f>
        <v/>
      </c>
      <c r="L384" s="5">
        <f>IF(B384="","",NOW())</f>
        <v/>
      </c>
    </row>
    <row r="385">
      <c r="A385" s="5">
        <f>IF(B385="","","MIN-"&amp;TEXT(ROW()-1,"0000"))</f>
        <v/>
      </c>
      <c r="L385" s="5">
        <f>IF(B385="","",NOW())</f>
        <v/>
      </c>
    </row>
    <row r="386">
      <c r="A386" s="5">
        <f>IF(B386="","","MIN-"&amp;TEXT(ROW()-1,"0000"))</f>
        <v/>
      </c>
      <c r="L386" s="5">
        <f>IF(B386="","",NOW())</f>
        <v/>
      </c>
    </row>
    <row r="387">
      <c r="A387" s="5">
        <f>IF(B387="","","MIN-"&amp;TEXT(ROW()-1,"0000"))</f>
        <v/>
      </c>
      <c r="L387" s="5">
        <f>IF(B387="","",NOW())</f>
        <v/>
      </c>
    </row>
    <row r="388">
      <c r="A388" s="5">
        <f>IF(B388="","","MIN-"&amp;TEXT(ROW()-1,"0000"))</f>
        <v/>
      </c>
      <c r="L388" s="5">
        <f>IF(B388="","",NOW())</f>
        <v/>
      </c>
    </row>
    <row r="389">
      <c r="A389" s="5">
        <f>IF(B389="","","MIN-"&amp;TEXT(ROW()-1,"0000"))</f>
        <v/>
      </c>
      <c r="L389" s="5">
        <f>IF(B389="","",NOW())</f>
        <v/>
      </c>
    </row>
    <row r="390">
      <c r="A390" s="5">
        <f>IF(B390="","","MIN-"&amp;TEXT(ROW()-1,"0000"))</f>
        <v/>
      </c>
      <c r="L390" s="5">
        <f>IF(B390="","",NOW())</f>
        <v/>
      </c>
    </row>
    <row r="391">
      <c r="A391" s="5">
        <f>IF(B391="","","MIN-"&amp;TEXT(ROW()-1,"0000"))</f>
        <v/>
      </c>
      <c r="L391" s="5">
        <f>IF(B391="","",NOW())</f>
        <v/>
      </c>
    </row>
    <row r="392">
      <c r="A392" s="5">
        <f>IF(B392="","","MIN-"&amp;TEXT(ROW()-1,"0000"))</f>
        <v/>
      </c>
      <c r="L392" s="5">
        <f>IF(B392="","",NOW())</f>
        <v/>
      </c>
    </row>
    <row r="393">
      <c r="A393" s="5">
        <f>IF(B393="","","MIN-"&amp;TEXT(ROW()-1,"0000"))</f>
        <v/>
      </c>
      <c r="L393" s="5">
        <f>IF(B393="","",NOW())</f>
        <v/>
      </c>
    </row>
    <row r="394">
      <c r="A394" s="5">
        <f>IF(B394="","","MIN-"&amp;TEXT(ROW()-1,"0000"))</f>
        <v/>
      </c>
      <c r="L394" s="5">
        <f>IF(B394="","",NOW())</f>
        <v/>
      </c>
    </row>
    <row r="395">
      <c r="A395" s="5">
        <f>IF(B395="","","MIN-"&amp;TEXT(ROW()-1,"0000"))</f>
        <v/>
      </c>
      <c r="L395" s="5">
        <f>IF(B395="","",NOW())</f>
        <v/>
      </c>
    </row>
    <row r="396">
      <c r="A396" s="5">
        <f>IF(B396="","","MIN-"&amp;TEXT(ROW()-1,"0000"))</f>
        <v/>
      </c>
      <c r="L396" s="5">
        <f>IF(B396="","",NOW())</f>
        <v/>
      </c>
    </row>
    <row r="397">
      <c r="A397" s="5">
        <f>IF(B397="","","MIN-"&amp;TEXT(ROW()-1,"0000"))</f>
        <v/>
      </c>
      <c r="L397" s="5">
        <f>IF(B397="","",NOW())</f>
        <v/>
      </c>
    </row>
    <row r="398">
      <c r="A398" s="5">
        <f>IF(B398="","","MIN-"&amp;TEXT(ROW()-1,"0000"))</f>
        <v/>
      </c>
      <c r="L398" s="5">
        <f>IF(B398="","",NOW())</f>
        <v/>
      </c>
    </row>
    <row r="399">
      <c r="A399" s="5">
        <f>IF(B399="","","MIN-"&amp;TEXT(ROW()-1,"0000"))</f>
        <v/>
      </c>
      <c r="L399" s="5">
        <f>IF(B399="","",NOW())</f>
        <v/>
      </c>
    </row>
    <row r="400">
      <c r="A400" s="5">
        <f>IF(B400="","","MIN-"&amp;TEXT(ROW()-1,"0000"))</f>
        <v/>
      </c>
      <c r="L400" s="5">
        <f>IF(B400="","",NOW())</f>
        <v/>
      </c>
    </row>
    <row r="401">
      <c r="A401" s="5">
        <f>IF(B401="","","MIN-"&amp;TEXT(ROW()-1,"0000"))</f>
        <v/>
      </c>
      <c r="L401" s="5">
        <f>IF(B401="","",NOW())</f>
        <v/>
      </c>
    </row>
    <row r="402">
      <c r="A402" s="5">
        <f>IF(B402="","","MIN-"&amp;TEXT(ROW()-1,"0000"))</f>
        <v/>
      </c>
      <c r="L402" s="5">
        <f>IF(B402="","",NOW())</f>
        <v/>
      </c>
    </row>
    <row r="403">
      <c r="A403" s="5">
        <f>IF(B403="","","MIN-"&amp;TEXT(ROW()-1,"0000"))</f>
        <v/>
      </c>
      <c r="L403" s="5">
        <f>IF(B403="","",NOW())</f>
        <v/>
      </c>
    </row>
    <row r="404">
      <c r="A404" s="5">
        <f>IF(B404="","","MIN-"&amp;TEXT(ROW()-1,"0000"))</f>
        <v/>
      </c>
      <c r="L404" s="5">
        <f>IF(B404="","",NOW())</f>
        <v/>
      </c>
    </row>
    <row r="405">
      <c r="A405" s="5">
        <f>IF(B405="","","MIN-"&amp;TEXT(ROW()-1,"0000"))</f>
        <v/>
      </c>
      <c r="L405" s="5">
        <f>IF(B405="","",NOW())</f>
        <v/>
      </c>
    </row>
    <row r="406">
      <c r="A406" s="5">
        <f>IF(B406="","","MIN-"&amp;TEXT(ROW()-1,"0000"))</f>
        <v/>
      </c>
      <c r="L406" s="5">
        <f>IF(B406="","",NOW())</f>
        <v/>
      </c>
    </row>
    <row r="407">
      <c r="A407" s="5">
        <f>IF(B407="","","MIN-"&amp;TEXT(ROW()-1,"0000"))</f>
        <v/>
      </c>
      <c r="L407" s="5">
        <f>IF(B407="","",NOW())</f>
        <v/>
      </c>
    </row>
    <row r="408">
      <c r="A408" s="5">
        <f>IF(B408="","","MIN-"&amp;TEXT(ROW()-1,"0000"))</f>
        <v/>
      </c>
      <c r="L408" s="5">
        <f>IF(B408="","",NOW())</f>
        <v/>
      </c>
    </row>
    <row r="409">
      <c r="A409" s="5">
        <f>IF(B409="","","MIN-"&amp;TEXT(ROW()-1,"0000"))</f>
        <v/>
      </c>
      <c r="L409" s="5">
        <f>IF(B409="","",NOW())</f>
        <v/>
      </c>
    </row>
    <row r="410">
      <c r="A410" s="5">
        <f>IF(B410="","","MIN-"&amp;TEXT(ROW()-1,"0000"))</f>
        <v/>
      </c>
      <c r="L410" s="5">
        <f>IF(B410="","",NOW())</f>
        <v/>
      </c>
    </row>
    <row r="411">
      <c r="A411" s="5">
        <f>IF(B411="","","MIN-"&amp;TEXT(ROW()-1,"0000"))</f>
        <v/>
      </c>
      <c r="L411" s="5">
        <f>IF(B411="","",NOW())</f>
        <v/>
      </c>
    </row>
    <row r="412">
      <c r="A412" s="5">
        <f>IF(B412="","","MIN-"&amp;TEXT(ROW()-1,"0000"))</f>
        <v/>
      </c>
      <c r="L412" s="5">
        <f>IF(B412="","",NOW())</f>
        <v/>
      </c>
    </row>
    <row r="413">
      <c r="A413" s="5">
        <f>IF(B413="","","MIN-"&amp;TEXT(ROW()-1,"0000"))</f>
        <v/>
      </c>
      <c r="L413" s="5">
        <f>IF(B413="","",NOW())</f>
        <v/>
      </c>
    </row>
    <row r="414">
      <c r="A414" s="5">
        <f>IF(B414="","","MIN-"&amp;TEXT(ROW()-1,"0000"))</f>
        <v/>
      </c>
      <c r="L414" s="5">
        <f>IF(B414="","",NOW())</f>
        <v/>
      </c>
    </row>
    <row r="415">
      <c r="A415" s="5">
        <f>IF(B415="","","MIN-"&amp;TEXT(ROW()-1,"0000"))</f>
        <v/>
      </c>
      <c r="L415" s="5">
        <f>IF(B415="","",NOW())</f>
        <v/>
      </c>
    </row>
    <row r="416">
      <c r="A416" s="5">
        <f>IF(B416="","","MIN-"&amp;TEXT(ROW()-1,"0000"))</f>
        <v/>
      </c>
      <c r="L416" s="5">
        <f>IF(B416="","",NOW())</f>
        <v/>
      </c>
    </row>
    <row r="417">
      <c r="A417" s="5">
        <f>IF(B417="","","MIN-"&amp;TEXT(ROW()-1,"0000"))</f>
        <v/>
      </c>
      <c r="L417" s="5">
        <f>IF(B417="","",NOW())</f>
        <v/>
      </c>
    </row>
    <row r="418">
      <c r="A418" s="5">
        <f>IF(B418="","","MIN-"&amp;TEXT(ROW()-1,"0000"))</f>
        <v/>
      </c>
      <c r="L418" s="5">
        <f>IF(B418="","",NOW())</f>
        <v/>
      </c>
    </row>
    <row r="419">
      <c r="A419" s="5">
        <f>IF(B419="","","MIN-"&amp;TEXT(ROW()-1,"0000"))</f>
        <v/>
      </c>
      <c r="L419" s="5">
        <f>IF(B419="","",NOW())</f>
        <v/>
      </c>
    </row>
    <row r="420">
      <c r="A420" s="5">
        <f>IF(B420="","","MIN-"&amp;TEXT(ROW()-1,"0000"))</f>
        <v/>
      </c>
      <c r="L420" s="5">
        <f>IF(B420="","",NOW())</f>
        <v/>
      </c>
    </row>
    <row r="421">
      <c r="A421" s="5">
        <f>IF(B421="","","MIN-"&amp;TEXT(ROW()-1,"0000"))</f>
        <v/>
      </c>
      <c r="L421" s="5">
        <f>IF(B421="","",NOW())</f>
        <v/>
      </c>
    </row>
    <row r="422">
      <c r="A422" s="5">
        <f>IF(B422="","","MIN-"&amp;TEXT(ROW()-1,"0000"))</f>
        <v/>
      </c>
      <c r="L422" s="5">
        <f>IF(B422="","",NOW())</f>
        <v/>
      </c>
    </row>
    <row r="423">
      <c r="A423" s="5">
        <f>IF(B423="","","MIN-"&amp;TEXT(ROW()-1,"0000"))</f>
        <v/>
      </c>
      <c r="L423" s="5">
        <f>IF(B423="","",NOW())</f>
        <v/>
      </c>
    </row>
    <row r="424">
      <c r="A424" s="5">
        <f>IF(B424="","","MIN-"&amp;TEXT(ROW()-1,"0000"))</f>
        <v/>
      </c>
      <c r="L424" s="5">
        <f>IF(B424="","",NOW())</f>
        <v/>
      </c>
    </row>
    <row r="425">
      <c r="A425" s="5">
        <f>IF(B425="","","MIN-"&amp;TEXT(ROW()-1,"0000"))</f>
        <v/>
      </c>
      <c r="L425" s="5">
        <f>IF(B425="","",NOW())</f>
        <v/>
      </c>
    </row>
    <row r="426">
      <c r="A426" s="5">
        <f>IF(B426="","","MIN-"&amp;TEXT(ROW()-1,"0000"))</f>
        <v/>
      </c>
      <c r="L426" s="5">
        <f>IF(B426="","",NOW())</f>
        <v/>
      </c>
    </row>
    <row r="427">
      <c r="A427" s="5">
        <f>IF(B427="","","MIN-"&amp;TEXT(ROW()-1,"0000"))</f>
        <v/>
      </c>
      <c r="L427" s="5">
        <f>IF(B427="","",NOW())</f>
        <v/>
      </c>
    </row>
    <row r="428">
      <c r="A428" s="5">
        <f>IF(B428="","","MIN-"&amp;TEXT(ROW()-1,"0000"))</f>
        <v/>
      </c>
      <c r="L428" s="5">
        <f>IF(B428="","",NOW())</f>
        <v/>
      </c>
    </row>
    <row r="429">
      <c r="A429" s="5">
        <f>IF(B429="","","MIN-"&amp;TEXT(ROW()-1,"0000"))</f>
        <v/>
      </c>
      <c r="L429" s="5">
        <f>IF(B429="","",NOW())</f>
        <v/>
      </c>
    </row>
    <row r="430">
      <c r="A430" s="5">
        <f>IF(B430="","","MIN-"&amp;TEXT(ROW()-1,"0000"))</f>
        <v/>
      </c>
      <c r="L430" s="5">
        <f>IF(B430="","",NOW())</f>
        <v/>
      </c>
    </row>
    <row r="431">
      <c r="A431" s="5">
        <f>IF(B431="","","MIN-"&amp;TEXT(ROW()-1,"0000"))</f>
        <v/>
      </c>
      <c r="L431" s="5">
        <f>IF(B431="","",NOW())</f>
        <v/>
      </c>
    </row>
    <row r="432">
      <c r="A432" s="5">
        <f>IF(B432="","","MIN-"&amp;TEXT(ROW()-1,"0000"))</f>
        <v/>
      </c>
      <c r="L432" s="5">
        <f>IF(B432="","",NOW())</f>
        <v/>
      </c>
    </row>
    <row r="433">
      <c r="A433" s="5">
        <f>IF(B433="","","MIN-"&amp;TEXT(ROW()-1,"0000"))</f>
        <v/>
      </c>
      <c r="L433" s="5">
        <f>IF(B433="","",NOW())</f>
        <v/>
      </c>
    </row>
    <row r="434">
      <c r="A434" s="5">
        <f>IF(B434="","","MIN-"&amp;TEXT(ROW()-1,"0000"))</f>
        <v/>
      </c>
      <c r="L434" s="5">
        <f>IF(B434="","",NOW())</f>
        <v/>
      </c>
    </row>
    <row r="435">
      <c r="A435" s="5">
        <f>IF(B435="","","MIN-"&amp;TEXT(ROW()-1,"0000"))</f>
        <v/>
      </c>
      <c r="L435" s="5">
        <f>IF(B435="","",NOW())</f>
        <v/>
      </c>
    </row>
    <row r="436">
      <c r="A436" s="5">
        <f>IF(B436="","","MIN-"&amp;TEXT(ROW()-1,"0000"))</f>
        <v/>
      </c>
      <c r="L436" s="5">
        <f>IF(B436="","",NOW())</f>
        <v/>
      </c>
    </row>
    <row r="437">
      <c r="A437" s="5">
        <f>IF(B437="","","MIN-"&amp;TEXT(ROW()-1,"0000"))</f>
        <v/>
      </c>
      <c r="L437" s="5">
        <f>IF(B437="","",NOW())</f>
        <v/>
      </c>
    </row>
    <row r="438">
      <c r="A438" s="5">
        <f>IF(B438="","","MIN-"&amp;TEXT(ROW()-1,"0000"))</f>
        <v/>
      </c>
      <c r="L438" s="5">
        <f>IF(B438="","",NOW())</f>
        <v/>
      </c>
    </row>
    <row r="439">
      <c r="A439" s="5">
        <f>IF(B439="","","MIN-"&amp;TEXT(ROW()-1,"0000"))</f>
        <v/>
      </c>
      <c r="L439" s="5">
        <f>IF(B439="","",NOW())</f>
        <v/>
      </c>
    </row>
    <row r="440">
      <c r="A440" s="5">
        <f>IF(B440="","","MIN-"&amp;TEXT(ROW()-1,"0000"))</f>
        <v/>
      </c>
      <c r="L440" s="5">
        <f>IF(B440="","",NOW())</f>
        <v/>
      </c>
    </row>
    <row r="441">
      <c r="A441" s="5">
        <f>IF(B441="","","MIN-"&amp;TEXT(ROW()-1,"0000"))</f>
        <v/>
      </c>
      <c r="L441" s="5">
        <f>IF(B441="","",NOW())</f>
        <v/>
      </c>
    </row>
    <row r="442">
      <c r="A442" s="5">
        <f>IF(B442="","","MIN-"&amp;TEXT(ROW()-1,"0000"))</f>
        <v/>
      </c>
      <c r="L442" s="5">
        <f>IF(B442="","",NOW())</f>
        <v/>
      </c>
    </row>
    <row r="443">
      <c r="A443" s="5">
        <f>IF(B443="","","MIN-"&amp;TEXT(ROW()-1,"0000"))</f>
        <v/>
      </c>
      <c r="L443" s="5">
        <f>IF(B443="","",NOW())</f>
        <v/>
      </c>
    </row>
    <row r="444">
      <c r="A444" s="5">
        <f>IF(B444="","","MIN-"&amp;TEXT(ROW()-1,"0000"))</f>
        <v/>
      </c>
      <c r="L444" s="5">
        <f>IF(B444="","",NOW())</f>
        <v/>
      </c>
    </row>
    <row r="445">
      <c r="A445" s="5">
        <f>IF(B445="","","MIN-"&amp;TEXT(ROW()-1,"0000"))</f>
        <v/>
      </c>
      <c r="L445" s="5">
        <f>IF(B445="","",NOW())</f>
        <v/>
      </c>
    </row>
    <row r="446">
      <c r="A446" s="5">
        <f>IF(B446="","","MIN-"&amp;TEXT(ROW()-1,"0000"))</f>
        <v/>
      </c>
      <c r="L446" s="5">
        <f>IF(B446="","",NOW())</f>
        <v/>
      </c>
    </row>
    <row r="447">
      <c r="A447" s="5">
        <f>IF(B447="","","MIN-"&amp;TEXT(ROW()-1,"0000"))</f>
        <v/>
      </c>
      <c r="L447" s="5">
        <f>IF(B447="","",NOW())</f>
        <v/>
      </c>
    </row>
    <row r="448">
      <c r="A448" s="5">
        <f>IF(B448="","","MIN-"&amp;TEXT(ROW()-1,"0000"))</f>
        <v/>
      </c>
      <c r="L448" s="5">
        <f>IF(B448="","",NOW())</f>
        <v/>
      </c>
    </row>
    <row r="449">
      <c r="A449" s="5">
        <f>IF(B449="","","MIN-"&amp;TEXT(ROW()-1,"0000"))</f>
        <v/>
      </c>
      <c r="L449" s="5">
        <f>IF(B449="","",NOW())</f>
        <v/>
      </c>
    </row>
    <row r="450">
      <c r="A450" s="5">
        <f>IF(B450="","","MIN-"&amp;TEXT(ROW()-1,"0000"))</f>
        <v/>
      </c>
      <c r="L450" s="5">
        <f>IF(B450="","",NOW())</f>
        <v/>
      </c>
    </row>
    <row r="451">
      <c r="A451" s="5">
        <f>IF(B451="","","MIN-"&amp;TEXT(ROW()-1,"0000"))</f>
        <v/>
      </c>
      <c r="L451" s="5">
        <f>IF(B451="","",NOW())</f>
        <v/>
      </c>
    </row>
    <row r="452">
      <c r="A452" s="5">
        <f>IF(B452="","","MIN-"&amp;TEXT(ROW()-1,"0000"))</f>
        <v/>
      </c>
      <c r="L452" s="5">
        <f>IF(B452="","",NOW())</f>
        <v/>
      </c>
    </row>
    <row r="453">
      <c r="A453" s="5">
        <f>IF(B453="","","MIN-"&amp;TEXT(ROW()-1,"0000"))</f>
        <v/>
      </c>
      <c r="L453" s="5">
        <f>IF(B453="","",NOW())</f>
        <v/>
      </c>
    </row>
    <row r="454">
      <c r="A454" s="5">
        <f>IF(B454="","","MIN-"&amp;TEXT(ROW()-1,"0000"))</f>
        <v/>
      </c>
      <c r="L454" s="5">
        <f>IF(B454="","",NOW())</f>
        <v/>
      </c>
    </row>
    <row r="455">
      <c r="A455" s="5">
        <f>IF(B455="","","MIN-"&amp;TEXT(ROW()-1,"0000"))</f>
        <v/>
      </c>
      <c r="L455" s="5">
        <f>IF(B455="","",NOW())</f>
        <v/>
      </c>
    </row>
    <row r="456">
      <c r="A456" s="5">
        <f>IF(B456="","","MIN-"&amp;TEXT(ROW()-1,"0000"))</f>
        <v/>
      </c>
      <c r="L456" s="5">
        <f>IF(B456="","",NOW())</f>
        <v/>
      </c>
    </row>
    <row r="457">
      <c r="A457" s="5">
        <f>IF(B457="","","MIN-"&amp;TEXT(ROW()-1,"0000"))</f>
        <v/>
      </c>
      <c r="L457" s="5">
        <f>IF(B457="","",NOW())</f>
        <v/>
      </c>
    </row>
    <row r="458">
      <c r="A458" s="5">
        <f>IF(B458="","","MIN-"&amp;TEXT(ROW()-1,"0000"))</f>
        <v/>
      </c>
      <c r="L458" s="5">
        <f>IF(B458="","",NOW())</f>
        <v/>
      </c>
    </row>
    <row r="459">
      <c r="A459" s="5">
        <f>IF(B459="","","MIN-"&amp;TEXT(ROW()-1,"0000"))</f>
        <v/>
      </c>
      <c r="L459" s="5">
        <f>IF(B459="","",NOW())</f>
        <v/>
      </c>
    </row>
    <row r="460">
      <c r="A460" s="5">
        <f>IF(B460="","","MIN-"&amp;TEXT(ROW()-1,"0000"))</f>
        <v/>
      </c>
      <c r="L460" s="5">
        <f>IF(B460="","",NOW())</f>
        <v/>
      </c>
    </row>
    <row r="461">
      <c r="A461" s="5">
        <f>IF(B461="","","MIN-"&amp;TEXT(ROW()-1,"0000"))</f>
        <v/>
      </c>
      <c r="L461" s="5">
        <f>IF(B461="","",NOW())</f>
        <v/>
      </c>
    </row>
    <row r="462">
      <c r="A462" s="5">
        <f>IF(B462="","","MIN-"&amp;TEXT(ROW()-1,"0000"))</f>
        <v/>
      </c>
      <c r="L462" s="5">
        <f>IF(B462="","",NOW())</f>
        <v/>
      </c>
    </row>
    <row r="463">
      <c r="A463" s="5">
        <f>IF(B463="","","MIN-"&amp;TEXT(ROW()-1,"0000"))</f>
        <v/>
      </c>
      <c r="L463" s="5">
        <f>IF(B463="","",NOW())</f>
        <v/>
      </c>
    </row>
    <row r="464">
      <c r="A464" s="5">
        <f>IF(B464="","","MIN-"&amp;TEXT(ROW()-1,"0000"))</f>
        <v/>
      </c>
      <c r="L464" s="5">
        <f>IF(B464="","",NOW())</f>
        <v/>
      </c>
    </row>
    <row r="465">
      <c r="A465" s="5">
        <f>IF(B465="","","MIN-"&amp;TEXT(ROW()-1,"0000"))</f>
        <v/>
      </c>
      <c r="L465" s="5">
        <f>IF(B465="","",NOW())</f>
        <v/>
      </c>
    </row>
    <row r="466">
      <c r="A466" s="5">
        <f>IF(B466="","","MIN-"&amp;TEXT(ROW()-1,"0000"))</f>
        <v/>
      </c>
      <c r="L466" s="5">
        <f>IF(B466="","",NOW())</f>
        <v/>
      </c>
    </row>
    <row r="467">
      <c r="A467" s="5">
        <f>IF(B467="","","MIN-"&amp;TEXT(ROW()-1,"0000"))</f>
        <v/>
      </c>
      <c r="L467" s="5">
        <f>IF(B467="","",NOW())</f>
        <v/>
      </c>
    </row>
    <row r="468">
      <c r="A468" s="5">
        <f>IF(B468="","","MIN-"&amp;TEXT(ROW()-1,"0000"))</f>
        <v/>
      </c>
      <c r="L468" s="5">
        <f>IF(B468="","",NOW())</f>
        <v/>
      </c>
    </row>
    <row r="469">
      <c r="A469" s="5">
        <f>IF(B469="","","MIN-"&amp;TEXT(ROW()-1,"0000"))</f>
        <v/>
      </c>
      <c r="L469" s="5">
        <f>IF(B469="","",NOW())</f>
        <v/>
      </c>
    </row>
    <row r="470">
      <c r="A470" s="5">
        <f>IF(B470="","","MIN-"&amp;TEXT(ROW()-1,"0000"))</f>
        <v/>
      </c>
      <c r="L470" s="5">
        <f>IF(B470="","",NOW())</f>
        <v/>
      </c>
    </row>
    <row r="471">
      <c r="A471" s="5">
        <f>IF(B471="","","MIN-"&amp;TEXT(ROW()-1,"0000"))</f>
        <v/>
      </c>
      <c r="L471" s="5">
        <f>IF(B471="","",NOW())</f>
        <v/>
      </c>
    </row>
    <row r="472">
      <c r="A472" s="5">
        <f>IF(B472="","","MIN-"&amp;TEXT(ROW()-1,"0000"))</f>
        <v/>
      </c>
      <c r="L472" s="5">
        <f>IF(B472="","",NOW())</f>
        <v/>
      </c>
    </row>
    <row r="473">
      <c r="A473" s="5">
        <f>IF(B473="","","MIN-"&amp;TEXT(ROW()-1,"0000"))</f>
        <v/>
      </c>
      <c r="L473" s="5">
        <f>IF(B473="","",NOW())</f>
        <v/>
      </c>
    </row>
    <row r="474">
      <c r="A474" s="5">
        <f>IF(B474="","","MIN-"&amp;TEXT(ROW()-1,"0000"))</f>
        <v/>
      </c>
      <c r="L474" s="5">
        <f>IF(B474="","",NOW())</f>
        <v/>
      </c>
    </row>
    <row r="475">
      <c r="A475" s="5">
        <f>IF(B475="","","MIN-"&amp;TEXT(ROW()-1,"0000"))</f>
        <v/>
      </c>
      <c r="L475" s="5">
        <f>IF(B475="","",NOW())</f>
        <v/>
      </c>
    </row>
    <row r="476">
      <c r="A476" s="5">
        <f>IF(B476="","","MIN-"&amp;TEXT(ROW()-1,"0000"))</f>
        <v/>
      </c>
      <c r="L476" s="5">
        <f>IF(B476="","",NOW())</f>
        <v/>
      </c>
    </row>
    <row r="477">
      <c r="A477" s="5">
        <f>IF(B477="","","MIN-"&amp;TEXT(ROW()-1,"0000"))</f>
        <v/>
      </c>
      <c r="L477" s="5">
        <f>IF(B477="","",NOW())</f>
        <v/>
      </c>
    </row>
    <row r="478">
      <c r="A478" s="5">
        <f>IF(B478="","","MIN-"&amp;TEXT(ROW()-1,"0000"))</f>
        <v/>
      </c>
      <c r="L478" s="5">
        <f>IF(B478="","",NOW())</f>
        <v/>
      </c>
    </row>
    <row r="479">
      <c r="A479" s="5">
        <f>IF(B479="","","MIN-"&amp;TEXT(ROW()-1,"0000"))</f>
        <v/>
      </c>
      <c r="L479" s="5">
        <f>IF(B479="","",NOW())</f>
        <v/>
      </c>
    </row>
    <row r="480">
      <c r="A480" s="5">
        <f>IF(B480="","","MIN-"&amp;TEXT(ROW()-1,"0000"))</f>
        <v/>
      </c>
      <c r="L480" s="5">
        <f>IF(B480="","",NOW())</f>
        <v/>
      </c>
    </row>
    <row r="481">
      <c r="A481" s="5">
        <f>IF(B481="","","MIN-"&amp;TEXT(ROW()-1,"0000"))</f>
        <v/>
      </c>
      <c r="L481" s="5">
        <f>IF(B481="","",NOW())</f>
        <v/>
      </c>
    </row>
    <row r="482">
      <c r="A482" s="5">
        <f>IF(B482="","","MIN-"&amp;TEXT(ROW()-1,"0000"))</f>
        <v/>
      </c>
      <c r="L482" s="5">
        <f>IF(B482="","",NOW())</f>
        <v/>
      </c>
    </row>
    <row r="483">
      <c r="A483" s="5">
        <f>IF(B483="","","MIN-"&amp;TEXT(ROW()-1,"0000"))</f>
        <v/>
      </c>
      <c r="L483" s="5">
        <f>IF(B483="","",NOW())</f>
        <v/>
      </c>
    </row>
    <row r="484">
      <c r="A484" s="5">
        <f>IF(B484="","","MIN-"&amp;TEXT(ROW()-1,"0000"))</f>
        <v/>
      </c>
      <c r="L484" s="5">
        <f>IF(B484="","",NOW())</f>
        <v/>
      </c>
    </row>
    <row r="485">
      <c r="A485" s="5">
        <f>IF(B485="","","MIN-"&amp;TEXT(ROW()-1,"0000"))</f>
        <v/>
      </c>
      <c r="L485" s="5">
        <f>IF(B485="","",NOW())</f>
        <v/>
      </c>
    </row>
    <row r="486">
      <c r="A486" s="5">
        <f>IF(B486="","","MIN-"&amp;TEXT(ROW()-1,"0000"))</f>
        <v/>
      </c>
      <c r="L486" s="5">
        <f>IF(B486="","",NOW())</f>
        <v/>
      </c>
    </row>
    <row r="487">
      <c r="A487" s="5">
        <f>IF(B487="","","MIN-"&amp;TEXT(ROW()-1,"0000"))</f>
        <v/>
      </c>
      <c r="L487" s="5">
        <f>IF(B487="","",NOW())</f>
        <v/>
      </c>
    </row>
    <row r="488">
      <c r="A488" s="5">
        <f>IF(B488="","","MIN-"&amp;TEXT(ROW()-1,"0000"))</f>
        <v/>
      </c>
      <c r="L488" s="5">
        <f>IF(B488="","",NOW())</f>
        <v/>
      </c>
    </row>
    <row r="489">
      <c r="A489" s="5">
        <f>IF(B489="","","MIN-"&amp;TEXT(ROW()-1,"0000"))</f>
        <v/>
      </c>
      <c r="L489" s="5">
        <f>IF(B489="","",NOW())</f>
        <v/>
      </c>
    </row>
    <row r="490">
      <c r="A490" s="5">
        <f>IF(B490="","","MIN-"&amp;TEXT(ROW()-1,"0000"))</f>
        <v/>
      </c>
      <c r="L490" s="5">
        <f>IF(B490="","",NOW())</f>
        <v/>
      </c>
    </row>
    <row r="491">
      <c r="A491" s="5">
        <f>IF(B491="","","MIN-"&amp;TEXT(ROW()-1,"0000"))</f>
        <v/>
      </c>
      <c r="L491" s="5">
        <f>IF(B491="","",NOW())</f>
        <v/>
      </c>
    </row>
    <row r="492">
      <c r="A492" s="5">
        <f>IF(B492="","","MIN-"&amp;TEXT(ROW()-1,"0000"))</f>
        <v/>
      </c>
      <c r="L492" s="5">
        <f>IF(B492="","",NOW())</f>
        <v/>
      </c>
    </row>
    <row r="493">
      <c r="A493" s="5">
        <f>IF(B493="","","MIN-"&amp;TEXT(ROW()-1,"0000"))</f>
        <v/>
      </c>
      <c r="L493" s="5">
        <f>IF(B493="","",NOW())</f>
        <v/>
      </c>
    </row>
    <row r="494">
      <c r="A494" s="5">
        <f>IF(B494="","","MIN-"&amp;TEXT(ROW()-1,"0000"))</f>
        <v/>
      </c>
      <c r="L494" s="5">
        <f>IF(B494="","",NOW())</f>
        <v/>
      </c>
    </row>
    <row r="495">
      <c r="A495" s="5">
        <f>IF(B495="","","MIN-"&amp;TEXT(ROW()-1,"0000"))</f>
        <v/>
      </c>
      <c r="L495" s="5">
        <f>IF(B495="","",NOW())</f>
        <v/>
      </c>
    </row>
    <row r="496">
      <c r="A496" s="5">
        <f>IF(B496="","","MIN-"&amp;TEXT(ROW()-1,"0000"))</f>
        <v/>
      </c>
      <c r="L496" s="5">
        <f>IF(B496="","",NOW())</f>
        <v/>
      </c>
    </row>
    <row r="497">
      <c r="A497" s="5">
        <f>IF(B497="","","MIN-"&amp;TEXT(ROW()-1,"0000"))</f>
        <v/>
      </c>
      <c r="L497" s="5">
        <f>IF(B497="","",NOW())</f>
        <v/>
      </c>
    </row>
    <row r="498">
      <c r="A498" s="5">
        <f>IF(B498="","","MIN-"&amp;TEXT(ROW()-1,"0000"))</f>
        <v/>
      </c>
      <c r="L498" s="5">
        <f>IF(B498="","",NOW())</f>
        <v/>
      </c>
    </row>
    <row r="499">
      <c r="A499" s="5">
        <f>IF(B499="","","MIN-"&amp;TEXT(ROW()-1,"0000"))</f>
        <v/>
      </c>
      <c r="L499" s="5">
        <f>IF(B499="","",NOW())</f>
        <v/>
      </c>
    </row>
    <row r="500">
      <c r="A500" s="5">
        <f>IF(B500="","","MIN-"&amp;TEXT(ROW()-1,"0000"))</f>
        <v/>
      </c>
      <c r="L500" s="5">
        <f>IF(B500="","",NOW())</f>
        <v/>
      </c>
    </row>
    <row r="501">
      <c r="A501" s="5">
        <f>IF(B501="","","MIN-"&amp;TEXT(ROW()-1,"0000"))</f>
        <v/>
      </c>
      <c r="L501" s="5">
        <f>IF(B501="","",NOW())</f>
        <v/>
      </c>
    </row>
  </sheetData>
  <dataValidations count="2">
    <dataValidation sqref="D2:D1000" showDropDown="0" showInputMessage="0" showErrorMessage="0" allowBlank="1" type="list">
      <formula1>"UPI-GPay,UPI-PhonePe,UPI-Other,Bank Transfer,Cash,Refund-In"</formula1>
    </dataValidation>
    <dataValidation sqref="E2:E1000" showDropDown="0" showInputMessage="0" showErrorMessage="0" allowBlank="1" type="list">
      <formula1>"Bank,UPI float,Cash drawer"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3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 ht="36" customHeight="1">
      <c r="A1" s="4" t="inlineStr">
        <is>
          <t>Account</t>
        </is>
      </c>
      <c r="B1" s="4" t="inlineStr">
        <is>
          <t>Opening balance (₹)</t>
        </is>
      </c>
      <c r="C1" s="4" t="inlineStr">
        <is>
          <t>Opening date</t>
        </is>
      </c>
      <c r="D1" s="4" t="inlineStr">
        <is>
          <t>Inflows since opening (₹)</t>
        </is>
      </c>
      <c r="E1" s="4" t="inlineStr">
        <is>
          <t>Outflows since opening (₹)</t>
        </is>
      </c>
      <c r="F1" s="4" t="inlineStr">
        <is>
          <t>Current balance (₹)</t>
        </is>
      </c>
      <c r="G1" s="4" t="inlineStr">
        <is>
          <t>Last reconciled (date)</t>
        </is>
      </c>
      <c r="H1" s="4" t="inlineStr">
        <is>
          <t>Variance vs actual (₹)</t>
        </is>
      </c>
      <c r="I1" s="4" t="inlineStr">
        <is>
          <t>Notes</t>
        </is>
      </c>
    </row>
    <row r="2">
      <c r="A2" s="8" t="inlineStr">
        <is>
          <t>Bank — HDFC Current</t>
        </is>
      </c>
      <c r="B2" s="8" t="n">
        <v>25000</v>
      </c>
      <c r="C2" s="6" t="n">
        <v>45962</v>
      </c>
      <c r="D2" s="5">
        <f>IFERROR(SUMIFS('Money In'!F:F,'Money In'!E:E,IF(LEFT(A2,4)="Bank","Bank",IF(LEFT(A2,3)="UPI","UPI float","Cash drawer")),'Money In'!B:B,"&gt;="&amp;C2),0)</f>
        <v/>
      </c>
      <c r="E2" s="5">
        <f>IFERROR(SUMIFS('Money Out'!F:F,'Money Out'!E:E,IF(LEFT(A2,4)="Bank","Bank",IF(LEFT(A2,3)="UPI","UPI float","Cash drawer")),'Money Out'!B:B,"&gt;="&amp;C2),0)</f>
        <v/>
      </c>
      <c r="F2" s="5">
        <f>IF(A2="","",B2+D2-E2)</f>
        <v/>
      </c>
      <c r="G2" s="6" t="n">
        <v>46162</v>
      </c>
      <c r="H2" s="8" t="n">
        <v>0</v>
      </c>
      <c r="I2" s="8" t="inlineStr">
        <is>
          <t>Personal current account; bakery uses it provisionally</t>
        </is>
      </c>
    </row>
    <row r="3">
      <c r="A3" s="8" t="inlineStr">
        <is>
          <t>UPI — GPay (Swetha phone)</t>
        </is>
      </c>
      <c r="B3" s="8" t="n">
        <v>5000</v>
      </c>
      <c r="C3" s="6" t="n">
        <v>45962</v>
      </c>
      <c r="D3" s="5">
        <f>IFERROR(SUMIFS('Money In'!F:F,'Money In'!E:E,IF(LEFT(A3,4)="Bank","Bank",IF(LEFT(A3,3)="UPI","UPI float","Cash drawer")),'Money In'!B:B,"&gt;="&amp;C3),0)</f>
        <v/>
      </c>
      <c r="E3" s="5">
        <f>IFERROR(SUMIFS('Money Out'!F:F,'Money Out'!E:E,IF(LEFT(A3,4)="Bank","Bank",IF(LEFT(A3,3)="UPI","UPI float","Cash drawer")),'Money Out'!B:B,"&gt;="&amp;C3),0)</f>
        <v/>
      </c>
      <c r="F3" s="5">
        <f>IF(A3="","",B3+D3-E3)</f>
        <v/>
      </c>
      <c r="G3" s="6" t="n">
        <v>46165</v>
      </c>
      <c r="H3" s="8" t="n">
        <v>0</v>
      </c>
      <c r="I3" s="8" t="inlineStr">
        <is>
          <t>Primary inflow channel</t>
        </is>
      </c>
    </row>
    <row r="4">
      <c r="A4" s="8" t="inlineStr">
        <is>
          <t>UPI — PhonePe (Shreya phone)</t>
        </is>
      </c>
      <c r="B4" s="8" t="n">
        <v>1000</v>
      </c>
      <c r="C4" s="6" t="n">
        <v>45962</v>
      </c>
      <c r="D4" s="5">
        <f>IFERROR(SUMIFS('Money In'!F:F,'Money In'!E:E,IF(LEFT(A4,4)="Bank","Bank",IF(LEFT(A4,3)="UPI","UPI float","Cash drawer")),'Money In'!B:B,"&gt;="&amp;C4),0)</f>
        <v/>
      </c>
      <c r="E4" s="5">
        <f>IFERROR(SUMIFS('Money Out'!F:F,'Money Out'!E:E,IF(LEFT(A4,4)="Bank","Bank",IF(LEFT(A4,3)="UPI","UPI float","Cash drawer")),'Money Out'!B:B,"&gt;="&amp;C4),0)</f>
        <v/>
      </c>
      <c r="F4" s="5">
        <f>IF(A4="","",B4+D4-E4)</f>
        <v/>
      </c>
      <c r="G4" s="6" t="n">
        <v>46165</v>
      </c>
      <c r="H4" s="8" t="n">
        <v>0</v>
      </c>
      <c r="I4" s="8" t="inlineStr">
        <is>
          <t>Secondary; some customers default here</t>
        </is>
      </c>
    </row>
    <row r="5">
      <c r="A5" s="8" t="inlineStr">
        <is>
          <t>Cash drawer</t>
        </is>
      </c>
      <c r="B5" s="8" t="n">
        <v>500</v>
      </c>
      <c r="C5" s="6" t="n">
        <v>45962</v>
      </c>
      <c r="D5" s="5">
        <f>IFERROR(SUMIFS('Money In'!F:F,'Money In'!E:E,IF(LEFT(A5,4)="Bank","Bank",IF(LEFT(A5,3)="UPI","UPI float","Cash drawer")),'Money In'!B:B,"&gt;="&amp;C5),0)</f>
        <v/>
      </c>
      <c r="E5" s="5">
        <f>IFERROR(SUMIFS('Money Out'!F:F,'Money Out'!E:E,IF(LEFT(A5,4)="Bank","Bank",IF(LEFT(A5,3)="UPI","UPI float","Cash drawer")),'Money Out'!B:B,"&gt;="&amp;C5),0)</f>
        <v/>
      </c>
      <c r="F5" s="5">
        <f>IF(A5="","",B5+D5-E5)</f>
        <v/>
      </c>
      <c r="G5" s="6" t="n">
        <v>46162</v>
      </c>
      <c r="H5" s="8" t="n">
        <v>0</v>
      </c>
      <c r="I5" s="8" t="inlineStr">
        <is>
          <t>Float for change-making</t>
        </is>
      </c>
    </row>
    <row r="6">
      <c r="D6" s="5">
        <f>IFERROR(SUMIFS('Money In'!F:F,'Money In'!E:E,IF(LEFT(A6,4)="Bank","Bank",IF(LEFT(A6,3)="UPI","UPI float","Cash drawer")),'Money In'!B:B,"&gt;="&amp;C6),0)</f>
        <v/>
      </c>
      <c r="E6" s="5">
        <f>IFERROR(SUMIFS('Money Out'!F:F,'Money Out'!E:E,IF(LEFT(A6,4)="Bank","Bank",IF(LEFT(A6,3)="UPI","UPI float","Cash drawer")),'Money Out'!B:B,"&gt;="&amp;C6),0)</f>
        <v/>
      </c>
      <c r="F6" s="5">
        <f>IF(A6="","",B6+D6-E6)</f>
        <v/>
      </c>
    </row>
    <row r="7">
      <c r="D7" s="5">
        <f>IFERROR(SUMIFS('Money In'!F:F,'Money In'!E:E,IF(LEFT(A7,4)="Bank","Bank",IF(LEFT(A7,3)="UPI","UPI float","Cash drawer")),'Money In'!B:B,"&gt;="&amp;C7),0)</f>
        <v/>
      </c>
      <c r="E7" s="5">
        <f>IFERROR(SUMIFS('Money Out'!F:F,'Money Out'!E:E,IF(LEFT(A7,4)="Bank","Bank",IF(LEFT(A7,3)="UPI","UPI float","Cash drawer")),'Money Out'!B:B,"&gt;="&amp;C7),0)</f>
        <v/>
      </c>
      <c r="F7" s="5">
        <f>IF(A7="","",B7+D7-E7)</f>
        <v/>
      </c>
    </row>
    <row r="8">
      <c r="D8" s="5">
        <f>IFERROR(SUMIFS('Money In'!F:F,'Money In'!E:E,IF(LEFT(A8,4)="Bank","Bank",IF(LEFT(A8,3)="UPI","UPI float","Cash drawer")),'Money In'!B:B,"&gt;="&amp;C8),0)</f>
        <v/>
      </c>
      <c r="E8" s="5">
        <f>IFERROR(SUMIFS('Money Out'!F:F,'Money Out'!E:E,IF(LEFT(A8,4)="Bank","Bank",IF(LEFT(A8,3)="UPI","UPI float","Cash drawer")),'Money Out'!B:B,"&gt;="&amp;C8),0)</f>
        <v/>
      </c>
      <c r="F8" s="5">
        <f>IF(A8="","",B8+D8-E8)</f>
        <v/>
      </c>
    </row>
    <row r="9">
      <c r="D9" s="5">
        <f>IFERROR(SUMIFS('Money In'!F:F,'Money In'!E:E,IF(LEFT(A9,4)="Bank","Bank",IF(LEFT(A9,3)="UPI","UPI float","Cash drawer")),'Money In'!B:B,"&gt;="&amp;C9),0)</f>
        <v/>
      </c>
      <c r="E9" s="5">
        <f>IFERROR(SUMIFS('Money Out'!F:F,'Money Out'!E:E,IF(LEFT(A9,4)="Bank","Bank",IF(LEFT(A9,3)="UPI","UPI float","Cash drawer")),'Money Out'!B:B,"&gt;="&amp;C9),0)</f>
        <v/>
      </c>
      <c r="F9" s="5">
        <f>IF(A9="","",B9+D9-E9)</f>
        <v/>
      </c>
    </row>
    <row r="10">
      <c r="D10" s="5">
        <f>IFERROR(SUMIFS('Money In'!F:F,'Money In'!E:E,IF(LEFT(A10,4)="Bank","Bank",IF(LEFT(A10,3)="UPI","UPI float","Cash drawer")),'Money In'!B:B,"&gt;="&amp;C10),0)</f>
        <v/>
      </c>
      <c r="E10" s="5">
        <f>IFERROR(SUMIFS('Money Out'!F:F,'Money Out'!E:E,IF(LEFT(A10,4)="Bank","Bank",IF(LEFT(A10,3)="UPI","UPI float","Cash drawer")),'Money Out'!B:B,"&gt;="&amp;C10),0)</f>
        <v/>
      </c>
      <c r="F10" s="5">
        <f>IF(A10="","",B10+D10-E10)</f>
        <v/>
      </c>
    </row>
    <row r="11">
      <c r="D11" s="5">
        <f>IFERROR(SUMIFS('Money In'!F:F,'Money In'!E:E,IF(LEFT(A11,4)="Bank","Bank",IF(LEFT(A11,3)="UPI","UPI float","Cash drawer")),'Money In'!B:B,"&gt;="&amp;C11),0)</f>
        <v/>
      </c>
      <c r="E11" s="5">
        <f>IFERROR(SUMIFS('Money Out'!F:F,'Money Out'!E:E,IF(LEFT(A11,4)="Bank","Bank",IF(LEFT(A11,3)="UPI","UPI float","Cash drawer")),'Money Out'!B:B,"&gt;="&amp;C11),0)</f>
        <v/>
      </c>
      <c r="F11" s="5">
        <f>IF(A11="","",B11+D11-E11)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6" customWidth="1" min="5" max="5"/>
    <col width="24" customWidth="1" min="6" max="6"/>
    <col width="16" customWidth="1" min="7" max="7"/>
    <col width="32" customWidth="1" min="8" max="8"/>
  </cols>
  <sheetData>
    <row r="1">
      <c r="A1" s="9" t="inlineStr">
        <is>
          <t>UPI Reconciliation — last run: (pending first run of upi_reconciler.gs)</t>
        </is>
      </c>
    </row>
    <row r="3">
      <c r="A3" s="10" t="inlineStr">
        <is>
          <t>SECTION A — Inflows without a matched Order</t>
        </is>
      </c>
    </row>
    <row r="5">
      <c r="A5" s="11" t="inlineStr">
        <is>
          <t>Entry ID</t>
        </is>
      </c>
      <c r="B5" s="11" t="inlineStr">
        <is>
          <t>Date</t>
        </is>
      </c>
      <c r="C5" s="11" t="inlineStr">
        <is>
          <t>Amount (₹)</t>
        </is>
      </c>
      <c r="D5" s="11" t="inlineStr">
        <is>
          <t>UTR</t>
        </is>
      </c>
      <c r="E5" s="11" t="inlineStr">
        <is>
          <t>Payer VPA</t>
        </is>
      </c>
      <c r="F5" s="11" t="inlineStr">
        <is>
          <t>Counter-party</t>
        </is>
      </c>
      <c r="G5" s="11" t="inlineStr">
        <is>
          <t>Channel</t>
        </is>
      </c>
      <c r="H5" s="11" t="inlineStr">
        <is>
          <t>Action</t>
        </is>
      </c>
    </row>
    <row r="6">
      <c r="A6" s="2" t="inlineStr">
        <is>
          <t>(populated by upi_reconciler.gs — run daily 09:00 IST)</t>
        </is>
      </c>
    </row>
    <row r="25">
      <c r="A25" s="10" t="inlineStr">
        <is>
          <t>SECTION B — Orders claiming UPI payment but no matching inflow</t>
        </is>
      </c>
    </row>
    <row r="27">
      <c r="A27" s="11" t="inlineStr">
        <is>
          <t>Order ID</t>
        </is>
      </c>
      <c r="B27" s="11" t="inlineStr">
        <is>
          <t>Customer</t>
        </is>
      </c>
      <c r="C27" s="11" t="inlineStr">
        <is>
          <t>Delivery date</t>
        </is>
      </c>
      <c r="D27" s="11" t="inlineStr">
        <is>
          <t>Final (₹)</t>
        </is>
      </c>
      <c r="E27" s="11" t="inlineStr">
        <is>
          <t>Declared paid (₹)</t>
        </is>
      </c>
      <c r="F27" s="11" t="inlineStr">
        <is>
          <t>Orders.UTR</t>
        </is>
      </c>
      <c r="G27" s="11" t="inlineStr">
        <is>
          <t>Payment mode</t>
        </is>
      </c>
      <c r="H27" s="11" t="inlineStr">
        <is>
          <t>Action</t>
        </is>
      </c>
    </row>
    <row r="28">
      <c r="A28" s="2" t="inlineStr">
        <is>
          <t>(populated by upi_reconciler.gs)</t>
        </is>
      </c>
    </row>
    <row r="45">
      <c r="A45" s="10" t="inlineStr">
        <is>
          <t>SECTION C — Summary</t>
        </is>
      </c>
    </row>
    <row r="46">
      <c r="A46" t="inlineStr">
        <is>
          <t>Inflows without a match:</t>
        </is>
      </c>
      <c r="B46" t="inlineStr">
        <is>
          <t>(pending)</t>
        </is>
      </c>
    </row>
    <row r="47">
      <c r="A47" t="inlineStr">
        <is>
          <t>Orders without a match:</t>
        </is>
      </c>
      <c r="B47" t="inlineStr">
        <is>
          <t>(pending)</t>
        </is>
      </c>
    </row>
    <row r="48">
      <c r="A48" t="inlineStr">
        <is>
          <t>₹ unmatched (inflow side):</t>
        </is>
      </c>
      <c r="B48" t="inlineStr">
        <is>
          <t>(pending)</t>
        </is>
      </c>
    </row>
    <row r="49">
      <c r="A49" t="inlineStr">
        <is>
          <t>₹ unmatched (order side):</t>
        </is>
      </c>
      <c r="B49" t="inlineStr">
        <is>
          <t>(pending)</t>
        </is>
      </c>
    </row>
    <row r="50">
      <c r="A50" t="inlineStr">
        <is>
          <t>Last run:</t>
        </is>
      </c>
      <c r="B50" t="inlineStr">
        <is>
          <t>(never)</t>
        </is>
      </c>
    </row>
  </sheetData>
  <mergeCells count="6">
    <mergeCell ref="A45:H45"/>
    <mergeCell ref="A3:H3"/>
    <mergeCell ref="A25:H25"/>
    <mergeCell ref="A28:H28"/>
    <mergeCell ref="A1:H1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40" customWidth="1" min="9" max="9"/>
  </cols>
  <sheetData>
    <row r="1" ht="36" customHeight="1">
      <c r="A1" s="4" t="inlineStr">
        <is>
          <t>License type</t>
        </is>
      </c>
      <c r="B1" s="4" t="inlineStr">
        <is>
          <t>License number</t>
        </is>
      </c>
      <c r="C1" s="4" t="inlineStr">
        <is>
          <t>Issuing authority</t>
        </is>
      </c>
      <c r="D1" s="4" t="inlineStr">
        <is>
          <t>Issued on</t>
        </is>
      </c>
      <c r="E1" s="4" t="inlineStr">
        <is>
          <t>Valid until</t>
        </is>
      </c>
      <c r="F1" s="4" t="inlineStr">
        <is>
          <t>Days to expiry</t>
        </is>
      </c>
      <c r="G1" s="4" t="inlineStr">
        <is>
          <t>Status</t>
        </is>
      </c>
      <c r="H1" s="4" t="inlineStr">
        <is>
          <t>Last renewed</t>
        </is>
      </c>
      <c r="I1" s="4" t="inlineStr">
        <is>
          <t>Notes</t>
        </is>
      </c>
    </row>
    <row r="2">
      <c r="A2" s="8" t="inlineStr">
        <is>
          <t>FSSAI Cottage Food</t>
        </is>
      </c>
      <c r="B2" s="8" t="inlineStr">
        <is>
          <t>21024010000001</t>
        </is>
      </c>
      <c r="C2" s="8" t="inlineStr">
        <is>
          <t>Telangana FSSAI</t>
        </is>
      </c>
      <c r="D2" s="6" t="n">
        <v>46068</v>
      </c>
      <c r="E2" s="6" t="n">
        <v>46432</v>
      </c>
      <c r="F2" s="5">
        <f>IFERROR(E2-TODAY(),"")</f>
        <v/>
      </c>
      <c r="G2" s="5">
        <f>IF(F2="","",IF(F2&lt;0,"EXPIRED",IF(F2&lt;=7,"Renew NOW",IF(F2&lt;=30,"Renew this month",IF(F2&lt;=90,"Renew this quarter","Current")))))</f>
        <v/>
      </c>
      <c r="H2" s="6" t="n">
        <v>46068</v>
      </c>
      <c r="I2" s="8" t="inlineStr">
        <is>
          <t>Annual renewal — calendar reminder 30 days ahead. Cottage food licence covers ≤₹12L annual turnover.</t>
        </is>
      </c>
    </row>
    <row r="3">
      <c r="A3" s="8" t="inlineStr">
        <is>
          <t>Trade Licence</t>
        </is>
      </c>
      <c r="B3" s="8" t="inlineStr">
        <is>
          <t>TL-2026-CFB-44521</t>
        </is>
      </c>
      <c r="C3" s="8" t="inlineStr">
        <is>
          <t>GHMC (Greater Hyderabad)</t>
        </is>
      </c>
      <c r="D3" s="6" t="n">
        <v>46082</v>
      </c>
      <c r="E3" s="6" t="n">
        <v>47177</v>
      </c>
      <c r="F3" s="5">
        <f>IFERROR(E3-TODAY(),"")</f>
        <v/>
      </c>
      <c r="G3" s="5">
        <f>IF(F3="","",IF(F3&lt;0,"EXPIRED",IF(F3&lt;=7,"Renew NOW",IF(F3&lt;=30,"Renew this month",IF(F3&lt;=90,"Renew this quarter","Current")))))</f>
        <v/>
      </c>
      <c r="H3" s="6" t="n">
        <v>46082</v>
      </c>
      <c r="I3" s="8" t="inlineStr">
        <is>
          <t>3-year cycle. Applies because operating from residential premises with commercial intent.</t>
        </is>
      </c>
    </row>
    <row r="4">
      <c r="A4" s="8" t="inlineStr">
        <is>
          <t>GST Registration</t>
        </is>
      </c>
      <c r="B4" s="8" t="inlineStr"/>
      <c r="C4" s="8" t="inlineStr">
        <is>
          <t>GSTN</t>
        </is>
      </c>
      <c r="F4" s="5">
        <f>IFERROR(E4-TODAY(),"")</f>
        <v/>
      </c>
      <c r="G4" s="5">
        <f>IF(F4="","",IF(F4&lt;0,"EXPIRED",IF(F4&lt;=7,"Renew NOW",IF(F4&lt;=30,"Renew this month",IF(F4&lt;=90,"Renew this quarter","Current")))))</f>
        <v/>
      </c>
      <c r="I4" s="8" t="inlineStr">
        <is>
          <t>Voluntary registration deferred. Activate when annual turnover crosses ₹40L (goods threshold in Telangana). Tracked here for forward compat.</t>
        </is>
      </c>
    </row>
    <row r="5">
      <c r="F5" s="5">
        <f>IFERROR(E5-TODAY(),"")</f>
        <v/>
      </c>
      <c r="G5" s="5">
        <f>IF(F5="","",IF(F5&lt;0,"EXPIRED",IF(F5&lt;=7,"Renew NOW",IF(F5&lt;=30,"Renew this month",IF(F5&lt;=90,"Renew this quarter","Current")))))</f>
        <v/>
      </c>
    </row>
    <row r="6">
      <c r="F6" s="5">
        <f>IFERROR(E6-TODAY(),"")</f>
        <v/>
      </c>
      <c r="G6" s="5">
        <f>IF(F6="","",IF(F6&lt;0,"EXPIRED",IF(F6&lt;=7,"Renew NOW",IF(F6&lt;=30,"Renew this month",IF(F6&lt;=90,"Renew this quarter","Current")))))</f>
        <v/>
      </c>
    </row>
    <row r="7">
      <c r="F7" s="5">
        <f>IFERROR(E7-TODAY(),"")</f>
        <v/>
      </c>
      <c r="G7" s="5">
        <f>IF(F7="","",IF(F7&lt;0,"EXPIRED",IF(F7&lt;=7,"Renew NOW",IF(F7&lt;=30,"Renew this month",IF(F7&lt;=90,"Renew this quarter","Current")))))</f>
        <v/>
      </c>
    </row>
    <row r="8">
      <c r="F8" s="5">
        <f>IFERROR(E8-TODAY(),"")</f>
        <v/>
      </c>
      <c r="G8" s="5">
        <f>IF(F8="","",IF(F8&lt;0,"EXPIRED",IF(F8&lt;=7,"Renew NOW",IF(F8&lt;=30,"Renew this month",IF(F8&lt;=90,"Renew this quarter","Current")))))</f>
        <v/>
      </c>
    </row>
    <row r="9">
      <c r="F9" s="5">
        <f>IFERROR(E9-TODAY(),"")</f>
        <v/>
      </c>
      <c r="G9" s="5">
        <f>IF(F9="","",IF(F9&lt;0,"EXPIRED",IF(F9&lt;=7,"Renew NOW",IF(F9&lt;=30,"Renew this month",IF(F9&lt;=90,"Renew this quarter","Current")))))</f>
        <v/>
      </c>
    </row>
    <row r="10">
      <c r="F10" s="5">
        <f>IFERROR(E10-TODAY(),"")</f>
        <v/>
      </c>
      <c r="G10" s="5">
        <f>IF(F10="","",IF(F10&lt;0,"EXPIRED",IF(F10&lt;=7,"Renew NOW",IF(F10&lt;=30,"Renew this month",IF(F10&lt;=90,"Renew this quarter","Current")))))</f>
        <v/>
      </c>
    </row>
    <row r="11">
      <c r="F11" s="5">
        <f>IFERROR(E11-TODAY(),"")</f>
        <v/>
      </c>
      <c r="G11" s="5">
        <f>IF(F11="","",IF(F11&lt;0,"EXPIRED",IF(F11&lt;=7,"Renew NOW",IF(F11&lt;=30,"Renew this month",IF(F11&lt;=90,"Renew this quarter","Current")))))</f>
        <v/>
      </c>
    </row>
    <row r="12">
      <c r="F12" s="5">
        <f>IFERROR(E12-TODAY(),"")</f>
        <v/>
      </c>
      <c r="G12" s="5">
        <f>IF(F12="","",IF(F12&lt;0,"EXPIRED",IF(F12&lt;=7,"Renew NOW",IF(F12&lt;=30,"Renew this month",IF(F12&lt;=90,"Renew this quarter","Current")))))</f>
        <v/>
      </c>
    </row>
    <row r="13">
      <c r="F13" s="5">
        <f>IFERROR(E13-TODAY(),"")</f>
        <v/>
      </c>
      <c r="G13" s="5">
        <f>IF(F13="","",IF(F13&lt;0,"EXPIRED",IF(F13&lt;=7,"Renew NOW",IF(F13&lt;=30,"Renew this month",IF(F13&lt;=90,"Renew this quarter","Current")))))</f>
        <v/>
      </c>
    </row>
    <row r="14">
      <c r="F14" s="5">
        <f>IFERROR(E14-TODAY(),"")</f>
        <v/>
      </c>
      <c r="G14" s="5">
        <f>IF(F14="","",IF(F14&lt;0,"EXPIRED",IF(F14&lt;=7,"Renew NOW",IF(F14&lt;=30,"Renew this month",IF(F14&lt;=90,"Renew this quarter","Current")))))</f>
        <v/>
      </c>
    </row>
    <row r="15">
      <c r="F15" s="5">
        <f>IFERROR(E15-TODAY(),"")</f>
        <v/>
      </c>
      <c r="G15" s="5">
        <f>IF(F15="","",IF(F15&lt;0,"EXPIRED",IF(F15&lt;=7,"Renew NOW",IF(F15&lt;=30,"Renew this month",IF(F15&lt;=90,"Renew this quarter","Current")))))</f>
        <v/>
      </c>
    </row>
    <row r="16">
      <c r="F16" s="5">
        <f>IFERROR(E16-TODAY(),"")</f>
        <v/>
      </c>
      <c r="G16" s="5">
        <f>IF(F16="","",IF(F16&lt;0,"EXPIRED",IF(F16&lt;=7,"Renew NOW",IF(F16&lt;=30,"Renew this month",IF(F16&lt;=90,"Renew this quarter","Current")))))</f>
        <v/>
      </c>
    </row>
    <row r="17">
      <c r="F17" s="5">
        <f>IFERROR(E17-TODAY(),"")</f>
        <v/>
      </c>
      <c r="G17" s="5">
        <f>IF(F17="","",IF(F17&lt;0,"EXPIRED",IF(F17&lt;=7,"Renew NOW",IF(F17&lt;=30,"Renew this month",IF(F17&lt;=90,"Renew this quarter","Current")))))</f>
        <v/>
      </c>
    </row>
    <row r="18">
      <c r="F18" s="5">
        <f>IFERROR(E18-TODAY(),"")</f>
        <v/>
      </c>
      <c r="G18" s="5">
        <f>IF(F18="","",IF(F18&lt;0,"EXPIRED",IF(F18&lt;=7,"Renew NOW",IF(F18&lt;=30,"Renew this month",IF(F18&lt;=90,"Renew this quarter","Current")))))</f>
        <v/>
      </c>
    </row>
    <row r="19">
      <c r="F19" s="5">
        <f>IFERROR(E19-TODAY(),"")</f>
        <v/>
      </c>
      <c r="G19" s="5">
        <f>IF(F19="","",IF(F19&lt;0,"EXPIRED",IF(F19&lt;=7,"Renew NOW",IF(F19&lt;=30,"Renew this month",IF(F19&lt;=90,"Renew this quarter","Current")))))</f>
        <v/>
      </c>
    </row>
    <row r="20">
      <c r="F20" s="5">
        <f>IFERROR(E20-TODAY(),"")</f>
        <v/>
      </c>
      <c r="G20" s="5">
        <f>IF(F20="","",IF(F20&lt;0,"EXPIRED",IF(F20&lt;=7,"Renew NOW",IF(F20&lt;=30,"Renew this month",IF(F20&lt;=90,"Renew this quarter","Current")))))</f>
        <v/>
      </c>
    </row>
    <row r="21">
      <c r="F21" s="5">
        <f>IFERROR(E21-TODAY(),"")</f>
        <v/>
      </c>
      <c r="G21" s="5">
        <f>IF(F21="","",IF(F21&lt;0,"EXPIRED",IF(F21&lt;=7,"Renew NOW",IF(F21&lt;=30,"Renew this month",IF(F21&lt;=90,"Renew this quarter","Current")))))</f>
        <v/>
      </c>
    </row>
    <row r="22">
      <c r="F22" s="5">
        <f>IFERROR(E22-TODAY(),"")</f>
        <v/>
      </c>
      <c r="G22" s="5">
        <f>IF(F22="","",IF(F22&lt;0,"EXPIRED",IF(F22&lt;=7,"Renew NOW",IF(F22&lt;=30,"Renew this month",IF(F22&lt;=90,"Renew this quarter","Current")))))</f>
        <v/>
      </c>
    </row>
    <row r="23">
      <c r="F23" s="5">
        <f>IFERROR(E23-TODAY(),"")</f>
        <v/>
      </c>
      <c r="G23" s="5">
        <f>IF(F23="","",IF(F23&lt;0,"EXPIRED",IF(F23&lt;=7,"Renew NOW",IF(F23&lt;=30,"Renew this month",IF(F23&lt;=90,"Renew this quarter","Current")))))</f>
        <v/>
      </c>
    </row>
    <row r="24">
      <c r="F24" s="5">
        <f>IFERROR(E24-TODAY(),"")</f>
        <v/>
      </c>
      <c r="G24" s="5">
        <f>IF(F24="","",IF(F24&lt;0,"EXPIRED",IF(F24&lt;=7,"Renew NOW",IF(F24&lt;=30,"Renew this month",IF(F24&lt;=90,"Renew this quarter","Current")))))</f>
        <v/>
      </c>
    </row>
    <row r="25">
      <c r="F25" s="5">
        <f>IFERROR(E25-TODAY(),"")</f>
        <v/>
      </c>
      <c r="G25" s="5">
        <f>IF(F25="","",IF(F25&lt;0,"EXPIRED",IF(F25&lt;=7,"Renew NOW",IF(F25&lt;=30,"Renew this month",IF(F25&lt;=90,"Renew this quarter","Current")))))</f>
        <v/>
      </c>
    </row>
    <row r="26">
      <c r="F26" s="5">
        <f>IFERROR(E26-TODAY(),"")</f>
        <v/>
      </c>
      <c r="G26" s="5">
        <f>IF(F26="","",IF(F26&lt;0,"EXPIRED",IF(F26&lt;=7,"Renew NOW",IF(F26&lt;=30,"Renew this month",IF(F26&lt;=90,"Renew this quarter","Current")))))</f>
        <v/>
      </c>
    </row>
    <row r="27">
      <c r="F27" s="5">
        <f>IFERROR(E27-TODAY(),"")</f>
        <v/>
      </c>
      <c r="G27" s="5">
        <f>IF(F27="","",IF(F27&lt;0,"EXPIRED",IF(F27&lt;=7,"Renew NOW",IF(F27&lt;=30,"Renew this month",IF(F27&lt;=90,"Renew this quarter","Current")))))</f>
        <v/>
      </c>
    </row>
    <row r="28">
      <c r="F28" s="5">
        <f>IFERROR(E28-TODAY(),"")</f>
        <v/>
      </c>
      <c r="G28" s="5">
        <f>IF(F28="","",IF(F28&lt;0,"EXPIRED",IF(F28&lt;=7,"Renew NOW",IF(F28&lt;=30,"Renew this month",IF(F28&lt;=90,"Renew this quarter","Current")))))</f>
        <v/>
      </c>
    </row>
    <row r="29">
      <c r="F29" s="5">
        <f>IFERROR(E29-TODAY(),"")</f>
        <v/>
      </c>
      <c r="G29" s="5">
        <f>IF(F29="","",IF(F29&lt;0,"EXPIRED",IF(F29&lt;=7,"Renew NOW",IF(F29&lt;=30,"Renew this month",IF(F29&lt;=90,"Renew this quarter","Current")))))</f>
        <v/>
      </c>
    </row>
    <row r="30">
      <c r="F30" s="5">
        <f>IFERROR(E30-TODAY(),"")</f>
        <v/>
      </c>
      <c r="G30" s="5">
        <f>IF(F30="","",IF(F30&lt;0,"EXPIRED",IF(F30&lt;=7,"Renew NOW",IF(F30&lt;=30,"Renew this month",IF(F30&lt;=90,"Renew this quarter","Current")))))</f>
        <v/>
      </c>
    </row>
    <row r="31">
      <c r="F31" s="5">
        <f>IFERROR(E31-TODAY(),"")</f>
        <v/>
      </c>
      <c r="G31" s="5">
        <f>IF(F31="","",IF(F31&lt;0,"EXPIRED",IF(F31&lt;=7,"Renew NOW",IF(F31&lt;=30,"Renew this month",IF(F31&lt;=90,"Renew this quarter","Current")))))</f>
        <v/>
      </c>
    </row>
    <row r="32">
      <c r="F32" s="5">
        <f>IFERROR(E32-TODAY(),"")</f>
        <v/>
      </c>
      <c r="G32" s="5">
        <f>IF(F32="","",IF(F32&lt;0,"EXPIRED",IF(F32&lt;=7,"Renew NOW",IF(F32&lt;=30,"Renew this month",IF(F32&lt;=90,"Renew this quarter","Current")))))</f>
        <v/>
      </c>
    </row>
    <row r="33">
      <c r="F33" s="5">
        <f>IFERROR(E33-TODAY(),"")</f>
        <v/>
      </c>
      <c r="G33" s="5">
        <f>IF(F33="","",IF(F33&lt;0,"EXPIRED",IF(F33&lt;=7,"Renew NOW",IF(F33&lt;=30,"Renew this month",IF(F33&lt;=90,"Renew this quarter","Current")))))</f>
        <v/>
      </c>
    </row>
    <row r="34">
      <c r="F34" s="5">
        <f>IFERROR(E34-TODAY(),"")</f>
        <v/>
      </c>
      <c r="G34" s="5">
        <f>IF(F34="","",IF(F34&lt;0,"EXPIRED",IF(F34&lt;=7,"Renew NOW",IF(F34&lt;=30,"Renew this month",IF(F34&lt;=90,"Renew this quarter","Current")))))</f>
        <v/>
      </c>
    </row>
    <row r="35">
      <c r="F35" s="5">
        <f>IFERROR(E35-TODAY(),"")</f>
        <v/>
      </c>
      <c r="G35" s="5">
        <f>IF(F35="","",IF(F35&lt;0,"EXPIRED",IF(F35&lt;=7,"Renew NOW",IF(F35&lt;=30,"Renew this month",IF(F35&lt;=90,"Renew this quarter","Current")))))</f>
        <v/>
      </c>
    </row>
    <row r="36">
      <c r="F36" s="5">
        <f>IFERROR(E36-TODAY(),"")</f>
        <v/>
      </c>
      <c r="G36" s="5">
        <f>IF(F36="","",IF(F36&lt;0,"EXPIRED",IF(F36&lt;=7,"Renew NOW",IF(F36&lt;=30,"Renew this month",IF(F36&lt;=90,"Renew this quarter","Current")))))</f>
        <v/>
      </c>
    </row>
    <row r="37">
      <c r="F37" s="5">
        <f>IFERROR(E37-TODAY(),"")</f>
        <v/>
      </c>
      <c r="G37" s="5">
        <f>IF(F37="","",IF(F37&lt;0,"EXPIRED",IF(F37&lt;=7,"Renew NOW",IF(F37&lt;=30,"Renew this month",IF(F37&lt;=90,"Renew this quarter","Current")))))</f>
        <v/>
      </c>
    </row>
    <row r="38">
      <c r="F38" s="5">
        <f>IFERROR(E38-TODAY(),"")</f>
        <v/>
      </c>
      <c r="G38" s="5">
        <f>IF(F38="","",IF(F38&lt;0,"EXPIRED",IF(F38&lt;=7,"Renew NOW",IF(F38&lt;=30,"Renew this month",IF(F38&lt;=90,"Renew this quarter","Current")))))</f>
        <v/>
      </c>
    </row>
    <row r="39">
      <c r="F39" s="5">
        <f>IFERROR(E39-TODAY(),"")</f>
        <v/>
      </c>
      <c r="G39" s="5">
        <f>IF(F39="","",IF(F39&lt;0,"EXPIRED",IF(F39&lt;=7,"Renew NOW",IF(F39&lt;=30,"Renew this month",IF(F39&lt;=90,"Renew this quarter","Current")))))</f>
        <v/>
      </c>
    </row>
    <row r="40">
      <c r="F40" s="5">
        <f>IFERROR(E40-TODAY(),"")</f>
        <v/>
      </c>
      <c r="G40" s="5">
        <f>IF(F40="","",IF(F40&lt;0,"EXPIRED",IF(F40&lt;=7,"Renew NOW",IF(F40&lt;=30,"Renew this month",IF(F40&lt;=90,"Renew this quarter","Current")))))</f>
        <v/>
      </c>
    </row>
    <row r="41">
      <c r="F41" s="5">
        <f>IFERROR(E41-TODAY(),"")</f>
        <v/>
      </c>
      <c r="G41" s="5">
        <f>IF(F41="","",IF(F41&lt;0,"EXPIRED",IF(F41&lt;=7,"Renew NOW",IF(F41&lt;=30,"Renew this month",IF(F41&lt;=90,"Renew this quarter","Current")))))</f>
        <v/>
      </c>
    </row>
    <row r="42">
      <c r="F42" s="5">
        <f>IFERROR(E42-TODAY(),"")</f>
        <v/>
      </c>
      <c r="G42" s="5">
        <f>IF(F42="","",IF(F42&lt;0,"EXPIRED",IF(F42&lt;=7,"Renew NOW",IF(F42&lt;=30,"Renew this month",IF(F42&lt;=90,"Renew this quarter","Current")))))</f>
        <v/>
      </c>
    </row>
    <row r="43">
      <c r="F43" s="5">
        <f>IFERROR(E43-TODAY(),"")</f>
        <v/>
      </c>
      <c r="G43" s="5">
        <f>IF(F43="","",IF(F43&lt;0,"EXPIRED",IF(F43&lt;=7,"Renew NOW",IF(F43&lt;=30,"Renew this month",IF(F43&lt;=90,"Renew this quarter","Current")))))</f>
        <v/>
      </c>
    </row>
    <row r="44">
      <c r="F44" s="5">
        <f>IFERROR(E44-TODAY(),"")</f>
        <v/>
      </c>
      <c r="G44" s="5">
        <f>IF(F44="","",IF(F44&lt;0,"EXPIRED",IF(F44&lt;=7,"Renew NOW",IF(F44&lt;=30,"Renew this month",IF(F44&lt;=90,"Renew this quarter","Current")))))</f>
        <v/>
      </c>
    </row>
    <row r="45">
      <c r="F45" s="5">
        <f>IFERROR(E45-TODAY(),"")</f>
        <v/>
      </c>
      <c r="G45" s="5">
        <f>IF(F45="","",IF(F45&lt;0,"EXPIRED",IF(F45&lt;=7,"Renew NOW",IF(F45&lt;=30,"Renew this month",IF(F45&lt;=90,"Renew this quarter","Current")))))</f>
        <v/>
      </c>
    </row>
    <row r="46">
      <c r="F46" s="5">
        <f>IFERROR(E46-TODAY(),"")</f>
        <v/>
      </c>
      <c r="G46" s="5">
        <f>IF(F46="","",IF(F46&lt;0,"EXPIRED",IF(F46&lt;=7,"Renew NOW",IF(F46&lt;=30,"Renew this month",IF(F46&lt;=90,"Renew this quarter","Current")))))</f>
        <v/>
      </c>
    </row>
    <row r="47">
      <c r="F47" s="5">
        <f>IFERROR(E47-TODAY(),"")</f>
        <v/>
      </c>
      <c r="G47" s="5">
        <f>IF(F47="","",IF(F47&lt;0,"EXPIRED",IF(F47&lt;=7,"Renew NOW",IF(F47&lt;=30,"Renew this month",IF(F47&lt;=90,"Renew this quarter","Current")))))</f>
        <v/>
      </c>
    </row>
    <row r="48">
      <c r="F48" s="5">
        <f>IFERROR(E48-TODAY(),"")</f>
        <v/>
      </c>
      <c r="G48" s="5">
        <f>IF(F48="","",IF(F48&lt;0,"EXPIRED",IF(F48&lt;=7,"Renew NOW",IF(F48&lt;=30,"Renew this month",IF(F48&lt;=90,"Renew this quarter","Current")))))</f>
        <v/>
      </c>
    </row>
    <row r="49">
      <c r="F49" s="5">
        <f>IFERROR(E49-TODAY(),"")</f>
        <v/>
      </c>
      <c r="G49" s="5">
        <f>IF(F49="","",IF(F49&lt;0,"EXPIRED",IF(F49&lt;=7,"Renew NOW",IF(F49&lt;=30,"Renew this month",IF(F49&lt;=90,"Renew this quarter","Current")))))</f>
        <v/>
      </c>
    </row>
    <row r="50">
      <c r="F50" s="5">
        <f>IFERROR(E50-TODAY(),"")</f>
        <v/>
      </c>
      <c r="G50" s="5">
        <f>IF(F50="","",IF(F50&lt;0,"EXPIRED",IF(F50&lt;=7,"Renew NOW",IF(F50&lt;=30,"Renew this month",IF(F50&lt;=90,"Renew this quarter","Current")))))</f>
        <v/>
      </c>
    </row>
    <row r="51">
      <c r="F51" s="5">
        <f>IFERROR(E51-TODAY(),"")</f>
        <v/>
      </c>
      <c r="G51" s="5">
        <f>IF(F51="","",IF(F51&lt;0,"EXPIRED",IF(F51&lt;=7,"Renew NOW",IF(F51&lt;=30,"Renew this month",IF(F51&lt;=90,"Renew this quarter","Current")))))</f>
        <v/>
      </c>
    </row>
  </sheetData>
  <dataValidations count="1">
    <dataValidation sqref="A2:A1000" showDropDown="0" showInputMessage="0" showErrorMessage="0" allowBlank="1" type="list">
      <formula1>"FSSAI Cottage Food,Trade Licence,GST Registration,Professional Tax,Shops &amp; Establishment,Other"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3" customWidth="1" min="4" max="4"/>
    <col width="18" customWidth="1" min="5" max="5"/>
    <col width="12" customWidth="1" min="6" max="6"/>
    <col width="22" customWidth="1" min="7" max="7"/>
    <col width="18" customWidth="1" min="8" max="8"/>
    <col width="22" customWidth="1" min="9" max="9"/>
    <col width="28" customWidth="1" min="10" max="10"/>
    <col width="12" customWidth="1" min="11" max="11"/>
    <col width="32" customWidth="1" min="12" max="12"/>
    <col width="18" customWidth="1" min="13" max="13"/>
  </cols>
  <sheetData>
    <row r="1" ht="36" customHeight="1">
      <c r="A1" s="4" t="inlineStr">
        <is>
          <t>Entry ID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Channel</t>
        </is>
      </c>
      <c r="E1" s="4" t="inlineStr">
        <is>
          <t>Account debited</t>
        </is>
      </c>
      <c r="F1" s="4" t="inlineStr">
        <is>
          <t>Amount (₹)</t>
        </is>
      </c>
      <c r="G1" s="4" t="inlineStr">
        <is>
          <t>Category</t>
        </is>
      </c>
      <c r="H1" s="4" t="inlineStr">
        <is>
          <t>UPI reference (UTR)</t>
        </is>
      </c>
      <c r="I1" s="4" t="inlineStr">
        <is>
          <t>Payee VPA / Account</t>
        </is>
      </c>
      <c r="J1" s="4" t="inlineStr">
        <is>
          <t>Payee name</t>
        </is>
      </c>
      <c r="K1" s="4" t="inlineStr">
        <is>
          <t>Linked PO ID</t>
        </is>
      </c>
      <c r="L1" s="4" t="inlineStr">
        <is>
          <t>Notes</t>
        </is>
      </c>
      <c r="M1" s="4" t="inlineStr">
        <is>
          <t>Logged at</t>
        </is>
      </c>
    </row>
    <row r="2">
      <c r="A2" s="5">
        <f>IF(B2="","","MOUT-"&amp;TEXT(ROW()-1,"0000"))</f>
        <v/>
      </c>
      <c r="B2" s="6" t="n">
        <v>46146</v>
      </c>
      <c r="C2" s="7" t="n">
        <v>0.46875</v>
      </c>
      <c r="D2" s="8" t="inlineStr">
        <is>
          <t>UPI-PhonePe</t>
        </is>
      </c>
      <c r="E2" s="8" t="inlineStr">
        <is>
          <t>UPI float</t>
        </is>
      </c>
      <c r="F2" s="8" t="n">
        <v>2840</v>
      </c>
      <c r="G2" s="8" t="inlineStr">
        <is>
          <t>Ingredients</t>
        </is>
      </c>
      <c r="H2" s="8" t="inlineStr">
        <is>
          <t>510044112233</t>
        </is>
      </c>
      <c r="I2" s="8" t="inlineStr">
        <is>
          <t>metrocc@hdfcbank</t>
        </is>
      </c>
      <c r="J2" s="8" t="inlineStr">
        <is>
          <t>Metro Cash &amp; Carry</t>
        </is>
      </c>
      <c r="K2" s="8" t="inlineStr">
        <is>
          <t>PO-0001</t>
        </is>
      </c>
      <c r="L2" s="8" t="inlineStr">
        <is>
          <t>Weekly flour + sugar + butter restock</t>
        </is>
      </c>
      <c r="M2" s="5">
        <f>IF(B2="","",NOW())</f>
        <v/>
      </c>
    </row>
    <row r="3">
      <c r="A3" s="5">
        <f>IF(B3="","","MOUT-"&amp;TEXT(ROW()-1,"0000"))</f>
        <v/>
      </c>
      <c r="B3" s="6" t="n">
        <v>46149</v>
      </c>
      <c r="C3" s="7" t="n">
        <v>0.7708333333333334</v>
      </c>
      <c r="D3" s="8" t="inlineStr">
        <is>
          <t>UPI-GPay</t>
        </is>
      </c>
      <c r="E3" s="8" t="inlineStr">
        <is>
          <t>UPI float</t>
        </is>
      </c>
      <c r="F3" s="8" t="n">
        <v>1450</v>
      </c>
      <c r="G3" s="8" t="inlineStr">
        <is>
          <t>Ingredients</t>
        </is>
      </c>
      <c r="H3" s="8" t="inlineStr">
        <is>
          <t>510077665544</t>
        </is>
      </c>
      <c r="I3" s="8" t="inlineStr">
        <is>
          <t>vijetha@oksbi</t>
        </is>
      </c>
      <c r="J3" s="8" t="inlineStr">
        <is>
          <t>Vijetha Supermarket</t>
        </is>
      </c>
      <c r="L3" s="8" t="inlineStr">
        <is>
          <t>Milk, cream, eggs — top-up</t>
        </is>
      </c>
      <c r="M3" s="5">
        <f>IF(B3="","",NOW())</f>
        <v/>
      </c>
    </row>
    <row r="4">
      <c r="A4" s="5">
        <f>IF(B4="","","MOUT-"&amp;TEXT(ROW()-1,"0000"))</f>
        <v/>
      </c>
      <c r="B4" s="6" t="n">
        <v>46153</v>
      </c>
      <c r="C4" s="7" t="n">
        <v>0.4166666666666667</v>
      </c>
      <c r="D4" s="8" t="inlineStr">
        <is>
          <t>UPI-GPay</t>
        </is>
      </c>
      <c r="E4" s="8" t="inlineStr">
        <is>
          <t>UPI float</t>
        </is>
      </c>
      <c r="F4" s="8" t="n">
        <v>920</v>
      </c>
      <c r="G4" s="8" t="inlineStr">
        <is>
          <t>Ingredients</t>
        </is>
      </c>
      <c r="H4" s="8" t="inlineStr">
        <is>
          <t>510099887766</t>
        </is>
      </c>
      <c r="I4" s="8" t="inlineStr">
        <is>
          <t>heritage@okhdfc</t>
        </is>
      </c>
      <c r="J4" s="8" t="inlineStr">
        <is>
          <t>Heritage Dairy</t>
        </is>
      </c>
      <c r="L4" s="8" t="inlineStr">
        <is>
          <t>Fresh paneer + cream for week's cakes</t>
        </is>
      </c>
      <c r="M4" s="5">
        <f>IF(B4="","",NOW())</f>
        <v/>
      </c>
    </row>
    <row r="5">
      <c r="A5" s="5">
        <f>IF(B5="","","MOUT-"&amp;TEXT(ROW()-1,"0000"))</f>
        <v/>
      </c>
      <c r="B5" s="6" t="n">
        <v>46156</v>
      </c>
      <c r="C5" s="7" t="n">
        <v>0.65625</v>
      </c>
      <c r="D5" s="8" t="inlineStr">
        <is>
          <t>UPI-PhonePe</t>
        </is>
      </c>
      <c r="E5" s="8" t="inlineStr">
        <is>
          <t>UPI float</t>
        </is>
      </c>
      <c r="F5" s="8" t="n">
        <v>3200</v>
      </c>
      <c r="G5" s="8" t="inlineStr">
        <is>
          <t>Ingredients</t>
        </is>
      </c>
      <c r="H5" s="8" t="inlineStr">
        <is>
          <t>511122334455</t>
        </is>
      </c>
      <c r="I5" s="8" t="inlineStr">
        <is>
          <t>callebaut@okicici</t>
        </is>
      </c>
      <c r="J5" s="8" t="inlineStr">
        <is>
          <t>Callebaut Distributor — Hyd</t>
        </is>
      </c>
      <c r="K5" s="8" t="inlineStr">
        <is>
          <t>PO-0002</t>
        </is>
      </c>
      <c r="L5" s="8" t="inlineStr">
        <is>
          <t>Couverture chocolate 5kg block</t>
        </is>
      </c>
      <c r="M5" s="5">
        <f>IF(B5="","",NOW())</f>
        <v/>
      </c>
    </row>
    <row r="6">
      <c r="A6" s="5">
        <f>IF(B6="","","MOUT-"&amp;TEXT(ROW()-1,"0000"))</f>
        <v/>
      </c>
      <c r="B6" s="6" t="n">
        <v>46151</v>
      </c>
      <c r="C6" s="7" t="n">
        <v>0.5555555555555556</v>
      </c>
      <c r="D6" s="8" t="inlineStr">
        <is>
          <t>Bank Transfer</t>
        </is>
      </c>
      <c r="E6" s="8" t="inlineStr">
        <is>
          <t>Bank</t>
        </is>
      </c>
      <c r="F6" s="8" t="n">
        <v>4500</v>
      </c>
      <c r="G6" s="8" t="inlineStr">
        <is>
          <t>Packaging</t>
        </is>
      </c>
      <c r="I6" s="8" t="inlineStr">
        <is>
          <t>wholesale-box-supplier</t>
        </is>
      </c>
      <c r="J6" s="8" t="inlineStr">
        <is>
          <t>Wholesale Box Supplier — Madhapur</t>
        </is>
      </c>
      <c r="K6" s="8" t="inlineStr">
        <is>
          <t>PO-0003</t>
        </is>
      </c>
      <c r="L6" s="8" t="inlineStr">
        <is>
          <t>100 × 1kg cake boxes + 50 × cupcake clamshells</t>
        </is>
      </c>
      <c r="M6" s="5">
        <f>IF(B6="","",NOW())</f>
        <v/>
      </c>
    </row>
    <row r="7">
      <c r="A7" s="5">
        <f>IF(B7="","","MOUT-"&amp;TEXT(ROW()-1,"0000"))</f>
        <v/>
      </c>
      <c r="B7" s="6" t="n">
        <v>46144</v>
      </c>
      <c r="C7" s="7" t="n">
        <v>0.375</v>
      </c>
      <c r="D7" s="8" t="inlineStr">
        <is>
          <t>UPI-GPay</t>
        </is>
      </c>
      <c r="E7" s="8" t="inlineStr">
        <is>
          <t>Bank</t>
        </is>
      </c>
      <c r="F7" s="8" t="n">
        <v>1850</v>
      </c>
      <c r="G7" s="8" t="inlineStr">
        <is>
          <t>Utilities</t>
        </is>
      </c>
      <c r="I7" s="8" t="inlineStr">
        <is>
          <t>ghmc@billdesk</t>
        </is>
      </c>
      <c r="J7" s="8" t="inlineStr">
        <is>
          <t>GHMC (electricity)</t>
        </is>
      </c>
      <c r="L7" s="8" t="inlineStr">
        <is>
          <t>April electricity bill</t>
        </is>
      </c>
      <c r="M7" s="5">
        <f>IF(B7="","",NOW())</f>
        <v/>
      </c>
    </row>
    <row r="8">
      <c r="A8" s="5">
        <f>IF(B8="","","MOUT-"&amp;TEXT(ROW()-1,"0000"))</f>
        <v/>
      </c>
      <c r="B8" s="6" t="n">
        <v>46148</v>
      </c>
      <c r="C8" s="7" t="n">
        <v>0.3541666666666667</v>
      </c>
      <c r="D8" s="8" t="inlineStr">
        <is>
          <t>Cash</t>
        </is>
      </c>
      <c r="E8" s="8" t="inlineStr">
        <is>
          <t>Cash drawer</t>
        </is>
      </c>
      <c r="F8" s="8" t="n">
        <v>1180</v>
      </c>
      <c r="G8" s="8" t="inlineStr">
        <is>
          <t>Utilities</t>
        </is>
      </c>
      <c r="J8" s="8" t="inlineStr">
        <is>
          <t>Bharat Gas (cylinder delivery boy)</t>
        </is>
      </c>
      <c r="L8" s="8" t="inlineStr">
        <is>
          <t>1 × 14.2kg LPG refill</t>
        </is>
      </c>
      <c r="M8" s="5">
        <f>IF(B8="","",NOW())</f>
        <v/>
      </c>
    </row>
    <row r="9">
      <c r="A9" s="5">
        <f>IF(B9="","","MOUT-"&amp;TEXT(ROW()-1,"0000"))</f>
        <v/>
      </c>
      <c r="B9" s="6" t="n">
        <v>46164</v>
      </c>
      <c r="C9" s="7" t="n">
        <v>0.3923611111111111</v>
      </c>
      <c r="D9" s="8" t="inlineStr">
        <is>
          <t>UPI-GPay</t>
        </is>
      </c>
      <c r="E9" s="8" t="inlineStr">
        <is>
          <t>UPI float</t>
        </is>
      </c>
      <c r="F9" s="8" t="n">
        <v>95</v>
      </c>
      <c r="G9" s="8" t="inlineStr">
        <is>
          <t>Delivery (Porter/Dunzo)</t>
        </is>
      </c>
      <c r="H9" s="8" t="inlineStr">
        <is>
          <t>521144556677</t>
        </is>
      </c>
      <c r="I9" s="8" t="inlineStr">
        <is>
          <t>porter@axis</t>
        </is>
      </c>
      <c r="J9" s="8" t="inlineStr">
        <is>
          <t>Porter (Vikram's anniversary cake delivery)</t>
        </is>
      </c>
      <c r="L9" s="8" t="inlineStr">
        <is>
          <t>Same-day; 6.4 km</t>
        </is>
      </c>
      <c r="M9" s="5">
        <f>IF(B9="","",NOW())</f>
        <v/>
      </c>
    </row>
    <row r="10">
      <c r="A10" s="5">
        <f>IF(B10="","","MOUT-"&amp;TEXT(ROW()-1,"0000"))</f>
        <v/>
      </c>
      <c r="B10" s="6" t="n">
        <v>46160</v>
      </c>
      <c r="C10" s="7" t="n">
        <v>0.4479166666666667</v>
      </c>
      <c r="D10" s="8" t="inlineStr">
        <is>
          <t>UPI-GPay</t>
        </is>
      </c>
      <c r="E10" s="8" t="inlineStr">
        <is>
          <t>UPI float</t>
        </is>
      </c>
      <c r="F10" s="8" t="n">
        <v>70</v>
      </c>
      <c r="G10" s="8" t="inlineStr">
        <is>
          <t>Delivery (Porter/Dunzo)</t>
        </is>
      </c>
      <c r="H10" s="8" t="inlineStr">
        <is>
          <t>521133445566</t>
        </is>
      </c>
      <c r="I10" s="8" t="inlineStr">
        <is>
          <t>porter@axis</t>
        </is>
      </c>
      <c r="J10" s="8" t="inlineStr">
        <is>
          <t>Porter (Sneha's bday cake delivery)</t>
        </is>
      </c>
      <c r="L10" s="8" t="inlineStr">
        <is>
          <t>Eterna pickup → Eterna drop, 1.2 km</t>
        </is>
      </c>
      <c r="M10" s="5">
        <f>IF(B10="","",NOW())</f>
        <v/>
      </c>
    </row>
    <row r="11">
      <c r="A11" s="5">
        <f>IF(B11="","","MOUT-"&amp;TEXT(ROW()-1,"0000"))</f>
        <v/>
      </c>
      <c r="B11" s="6" t="n">
        <v>46154</v>
      </c>
      <c r="C11" s="7" t="n">
        <v>0.5833333333333334</v>
      </c>
      <c r="D11" s="8" t="inlineStr">
        <is>
          <t>Bank Transfer</t>
        </is>
      </c>
      <c r="E11" s="8" t="inlineStr">
        <is>
          <t>Bank</t>
        </is>
      </c>
      <c r="F11" s="8" t="n">
        <v>38000</v>
      </c>
      <c r="G11" s="8" t="inlineStr">
        <is>
          <t>Equipment (capex)</t>
        </is>
      </c>
      <c r="I11" s="8" t="inlineStr">
        <is>
          <t>kitchenaid-india</t>
        </is>
      </c>
      <c r="J11" s="8" t="inlineStr">
        <is>
          <t>KitchenAid India (Amazon)</t>
        </is>
      </c>
      <c r="K11" s="8" t="inlineStr">
        <is>
          <t>PO-0004</t>
        </is>
      </c>
      <c r="L11" s="8" t="inlineStr">
        <is>
          <t>5KSM150 stand mixer — Phase 1 capex</t>
        </is>
      </c>
      <c r="M11" s="5">
        <f>IF(B11="","",NOW())</f>
        <v/>
      </c>
    </row>
    <row r="12">
      <c r="A12" s="5">
        <f>IF(B12="","","MOUT-"&amp;TEXT(ROW()-1,"0000"))</f>
        <v/>
      </c>
      <c r="B12" s="6" t="n">
        <v>46157</v>
      </c>
      <c r="C12" s="7" t="n">
        <v>0.8333333333333334</v>
      </c>
      <c r="D12" s="8" t="inlineStr">
        <is>
          <t>UPI-GPay</t>
        </is>
      </c>
      <c r="E12" s="8" t="inlineStr">
        <is>
          <t>Bank</t>
        </is>
      </c>
      <c r="F12" s="8" t="n">
        <v>15000</v>
      </c>
      <c r="G12" s="8" t="inlineStr">
        <is>
          <t>Founder Draw</t>
        </is>
      </c>
      <c r="I12" s="8" t="inlineStr">
        <is>
          <t>swetha@oksbi</t>
        </is>
      </c>
      <c r="J12" s="8" t="inlineStr">
        <is>
          <t>Swetha (founder draw)</t>
        </is>
      </c>
      <c r="L12" s="8" t="inlineStr">
        <is>
          <t>Salary equivalent — May</t>
        </is>
      </c>
      <c r="M12" s="5">
        <f>IF(B12="","",NOW())</f>
        <v/>
      </c>
    </row>
    <row r="13">
      <c r="A13" s="5">
        <f>IF(B13="","","MOUT-"&amp;TEXT(ROW()-1,"0000"))</f>
        <v/>
      </c>
      <c r="B13" s="6" t="n">
        <v>46157</v>
      </c>
      <c r="C13" s="7" t="n">
        <v>0.8368055555555556</v>
      </c>
      <c r="D13" s="8" t="inlineStr">
        <is>
          <t>UPI-GPay</t>
        </is>
      </c>
      <c r="E13" s="8" t="inlineStr">
        <is>
          <t>Bank</t>
        </is>
      </c>
      <c r="F13" s="8" t="n">
        <v>15000</v>
      </c>
      <c r="G13" s="8" t="inlineStr">
        <is>
          <t>Founder Draw</t>
        </is>
      </c>
      <c r="I13" s="8" t="inlineStr">
        <is>
          <t>shreya@okhdfc</t>
        </is>
      </c>
      <c r="J13" s="8" t="inlineStr">
        <is>
          <t>Shreya (founder draw)</t>
        </is>
      </c>
      <c r="L13" s="8" t="inlineStr">
        <is>
          <t>Salary equivalent — May</t>
        </is>
      </c>
      <c r="M13" s="5">
        <f>IF(B13="","",NOW())</f>
        <v/>
      </c>
    </row>
    <row r="14">
      <c r="A14" s="5">
        <f>IF(B14="","","MOUT-"&amp;TEXT(ROW()-1,"0000"))</f>
        <v/>
      </c>
      <c r="M14" s="5">
        <f>IF(B14="","",NOW())</f>
        <v/>
      </c>
    </row>
    <row r="15">
      <c r="A15" s="5">
        <f>IF(B15="","","MOUT-"&amp;TEXT(ROW()-1,"0000"))</f>
        <v/>
      </c>
      <c r="M15" s="5">
        <f>IF(B15="","",NOW())</f>
        <v/>
      </c>
    </row>
    <row r="16">
      <c r="A16" s="5">
        <f>IF(B16="","","MOUT-"&amp;TEXT(ROW()-1,"0000"))</f>
        <v/>
      </c>
      <c r="M16" s="5">
        <f>IF(B16="","",NOW())</f>
        <v/>
      </c>
    </row>
    <row r="17">
      <c r="A17" s="5">
        <f>IF(B17="","","MOUT-"&amp;TEXT(ROW()-1,"0000"))</f>
        <v/>
      </c>
      <c r="M17" s="5">
        <f>IF(B17="","",NOW())</f>
        <v/>
      </c>
    </row>
    <row r="18">
      <c r="A18" s="5">
        <f>IF(B18="","","MOUT-"&amp;TEXT(ROW()-1,"0000"))</f>
        <v/>
      </c>
      <c r="M18" s="5">
        <f>IF(B18="","",NOW())</f>
        <v/>
      </c>
    </row>
    <row r="19">
      <c r="A19" s="5">
        <f>IF(B19="","","MOUT-"&amp;TEXT(ROW()-1,"0000"))</f>
        <v/>
      </c>
      <c r="M19" s="5">
        <f>IF(B19="","",NOW())</f>
        <v/>
      </c>
    </row>
    <row r="20">
      <c r="A20" s="5">
        <f>IF(B20="","","MOUT-"&amp;TEXT(ROW()-1,"0000"))</f>
        <v/>
      </c>
      <c r="M20" s="5">
        <f>IF(B20="","",NOW())</f>
        <v/>
      </c>
    </row>
    <row r="21">
      <c r="A21" s="5">
        <f>IF(B21="","","MOUT-"&amp;TEXT(ROW()-1,"0000"))</f>
        <v/>
      </c>
      <c r="M21" s="5">
        <f>IF(B21="","",NOW())</f>
        <v/>
      </c>
    </row>
    <row r="22">
      <c r="A22" s="5">
        <f>IF(B22="","","MOUT-"&amp;TEXT(ROW()-1,"0000"))</f>
        <v/>
      </c>
      <c r="M22" s="5">
        <f>IF(B22="","",NOW())</f>
        <v/>
      </c>
    </row>
    <row r="23">
      <c r="A23" s="5">
        <f>IF(B23="","","MOUT-"&amp;TEXT(ROW()-1,"0000"))</f>
        <v/>
      </c>
      <c r="M23" s="5">
        <f>IF(B23="","",NOW())</f>
        <v/>
      </c>
    </row>
    <row r="24">
      <c r="A24" s="5">
        <f>IF(B24="","","MOUT-"&amp;TEXT(ROW()-1,"0000"))</f>
        <v/>
      </c>
      <c r="M24" s="5">
        <f>IF(B24="","",NOW())</f>
        <v/>
      </c>
    </row>
    <row r="25">
      <c r="A25" s="5">
        <f>IF(B25="","","MOUT-"&amp;TEXT(ROW()-1,"0000"))</f>
        <v/>
      </c>
      <c r="M25" s="5">
        <f>IF(B25="","",NOW())</f>
        <v/>
      </c>
    </row>
    <row r="26">
      <c r="A26" s="5">
        <f>IF(B26="","","MOUT-"&amp;TEXT(ROW()-1,"0000"))</f>
        <v/>
      </c>
      <c r="M26" s="5">
        <f>IF(B26="","",NOW())</f>
        <v/>
      </c>
    </row>
    <row r="27">
      <c r="A27" s="5">
        <f>IF(B27="","","MOUT-"&amp;TEXT(ROW()-1,"0000"))</f>
        <v/>
      </c>
      <c r="M27" s="5">
        <f>IF(B27="","",NOW())</f>
        <v/>
      </c>
    </row>
    <row r="28">
      <c r="A28" s="5">
        <f>IF(B28="","","MOUT-"&amp;TEXT(ROW()-1,"0000"))</f>
        <v/>
      </c>
      <c r="M28" s="5">
        <f>IF(B28="","",NOW())</f>
        <v/>
      </c>
    </row>
    <row r="29">
      <c r="A29" s="5">
        <f>IF(B29="","","MOUT-"&amp;TEXT(ROW()-1,"0000"))</f>
        <v/>
      </c>
      <c r="M29" s="5">
        <f>IF(B29="","",NOW())</f>
        <v/>
      </c>
    </row>
    <row r="30">
      <c r="A30" s="5">
        <f>IF(B30="","","MOUT-"&amp;TEXT(ROW()-1,"0000"))</f>
        <v/>
      </c>
      <c r="M30" s="5">
        <f>IF(B30="","",NOW())</f>
        <v/>
      </c>
    </row>
    <row r="31">
      <c r="A31" s="5">
        <f>IF(B31="","","MOUT-"&amp;TEXT(ROW()-1,"0000"))</f>
        <v/>
      </c>
      <c r="M31" s="5">
        <f>IF(B31="","",NOW())</f>
        <v/>
      </c>
    </row>
    <row r="32">
      <c r="A32" s="5">
        <f>IF(B32="","","MOUT-"&amp;TEXT(ROW()-1,"0000"))</f>
        <v/>
      </c>
      <c r="M32" s="5">
        <f>IF(B32="","",NOW())</f>
        <v/>
      </c>
    </row>
    <row r="33">
      <c r="A33" s="5">
        <f>IF(B33="","","MOUT-"&amp;TEXT(ROW()-1,"0000"))</f>
        <v/>
      </c>
      <c r="M33" s="5">
        <f>IF(B33="","",NOW())</f>
        <v/>
      </c>
    </row>
    <row r="34">
      <c r="A34" s="5">
        <f>IF(B34="","","MOUT-"&amp;TEXT(ROW()-1,"0000"))</f>
        <v/>
      </c>
      <c r="M34" s="5">
        <f>IF(B34="","",NOW())</f>
        <v/>
      </c>
    </row>
    <row r="35">
      <c r="A35" s="5">
        <f>IF(B35="","","MOUT-"&amp;TEXT(ROW()-1,"0000"))</f>
        <v/>
      </c>
      <c r="M35" s="5">
        <f>IF(B35="","",NOW())</f>
        <v/>
      </c>
    </row>
    <row r="36">
      <c r="A36" s="5">
        <f>IF(B36="","","MOUT-"&amp;TEXT(ROW()-1,"0000"))</f>
        <v/>
      </c>
      <c r="M36" s="5">
        <f>IF(B36="","",NOW())</f>
        <v/>
      </c>
    </row>
    <row r="37">
      <c r="A37" s="5">
        <f>IF(B37="","","MOUT-"&amp;TEXT(ROW()-1,"0000"))</f>
        <v/>
      </c>
      <c r="M37" s="5">
        <f>IF(B37="","",NOW())</f>
        <v/>
      </c>
    </row>
    <row r="38">
      <c r="A38" s="5">
        <f>IF(B38="","","MOUT-"&amp;TEXT(ROW()-1,"0000"))</f>
        <v/>
      </c>
      <c r="M38" s="5">
        <f>IF(B38="","",NOW())</f>
        <v/>
      </c>
    </row>
    <row r="39">
      <c r="A39" s="5">
        <f>IF(B39="","","MOUT-"&amp;TEXT(ROW()-1,"0000"))</f>
        <v/>
      </c>
      <c r="M39" s="5">
        <f>IF(B39="","",NOW())</f>
        <v/>
      </c>
    </row>
    <row r="40">
      <c r="A40" s="5">
        <f>IF(B40="","","MOUT-"&amp;TEXT(ROW()-1,"0000"))</f>
        <v/>
      </c>
      <c r="M40" s="5">
        <f>IF(B40="","",NOW())</f>
        <v/>
      </c>
    </row>
    <row r="41">
      <c r="A41" s="5">
        <f>IF(B41="","","MOUT-"&amp;TEXT(ROW()-1,"0000"))</f>
        <v/>
      </c>
      <c r="M41" s="5">
        <f>IF(B41="","",NOW())</f>
        <v/>
      </c>
    </row>
    <row r="42">
      <c r="A42" s="5">
        <f>IF(B42="","","MOUT-"&amp;TEXT(ROW()-1,"0000"))</f>
        <v/>
      </c>
      <c r="M42" s="5">
        <f>IF(B42="","",NOW())</f>
        <v/>
      </c>
    </row>
    <row r="43">
      <c r="A43" s="5">
        <f>IF(B43="","","MOUT-"&amp;TEXT(ROW()-1,"0000"))</f>
        <v/>
      </c>
      <c r="M43" s="5">
        <f>IF(B43="","",NOW())</f>
        <v/>
      </c>
    </row>
    <row r="44">
      <c r="A44" s="5">
        <f>IF(B44="","","MOUT-"&amp;TEXT(ROW()-1,"0000"))</f>
        <v/>
      </c>
      <c r="M44" s="5">
        <f>IF(B44="","",NOW())</f>
        <v/>
      </c>
    </row>
    <row r="45">
      <c r="A45" s="5">
        <f>IF(B45="","","MOUT-"&amp;TEXT(ROW()-1,"0000"))</f>
        <v/>
      </c>
      <c r="M45" s="5">
        <f>IF(B45="","",NOW())</f>
        <v/>
      </c>
    </row>
    <row r="46">
      <c r="A46" s="5">
        <f>IF(B46="","","MOUT-"&amp;TEXT(ROW()-1,"0000"))</f>
        <v/>
      </c>
      <c r="M46" s="5">
        <f>IF(B46="","",NOW())</f>
        <v/>
      </c>
    </row>
    <row r="47">
      <c r="A47" s="5">
        <f>IF(B47="","","MOUT-"&amp;TEXT(ROW()-1,"0000"))</f>
        <v/>
      </c>
      <c r="M47" s="5">
        <f>IF(B47="","",NOW())</f>
        <v/>
      </c>
    </row>
    <row r="48">
      <c r="A48" s="5">
        <f>IF(B48="","","MOUT-"&amp;TEXT(ROW()-1,"0000"))</f>
        <v/>
      </c>
      <c r="M48" s="5">
        <f>IF(B48="","",NOW())</f>
        <v/>
      </c>
    </row>
    <row r="49">
      <c r="A49" s="5">
        <f>IF(B49="","","MOUT-"&amp;TEXT(ROW()-1,"0000"))</f>
        <v/>
      </c>
      <c r="M49" s="5">
        <f>IF(B49="","",NOW())</f>
        <v/>
      </c>
    </row>
    <row r="50">
      <c r="A50" s="5">
        <f>IF(B50="","","MOUT-"&amp;TEXT(ROW()-1,"0000"))</f>
        <v/>
      </c>
      <c r="M50" s="5">
        <f>IF(B50="","",NOW())</f>
        <v/>
      </c>
    </row>
    <row r="51">
      <c r="A51" s="5">
        <f>IF(B51="","","MOUT-"&amp;TEXT(ROW()-1,"0000"))</f>
        <v/>
      </c>
      <c r="M51" s="5">
        <f>IF(B51="","",NOW())</f>
        <v/>
      </c>
    </row>
    <row r="52">
      <c r="A52" s="5">
        <f>IF(B52="","","MOUT-"&amp;TEXT(ROW()-1,"0000"))</f>
        <v/>
      </c>
      <c r="M52" s="5">
        <f>IF(B52="","",NOW())</f>
        <v/>
      </c>
    </row>
    <row r="53">
      <c r="A53" s="5">
        <f>IF(B53="","","MOUT-"&amp;TEXT(ROW()-1,"0000"))</f>
        <v/>
      </c>
      <c r="M53" s="5">
        <f>IF(B53="","",NOW())</f>
        <v/>
      </c>
    </row>
    <row r="54">
      <c r="A54" s="5">
        <f>IF(B54="","","MOUT-"&amp;TEXT(ROW()-1,"0000"))</f>
        <v/>
      </c>
      <c r="M54" s="5">
        <f>IF(B54="","",NOW())</f>
        <v/>
      </c>
    </row>
    <row r="55">
      <c r="A55" s="5">
        <f>IF(B55="","","MOUT-"&amp;TEXT(ROW()-1,"0000"))</f>
        <v/>
      </c>
      <c r="M55" s="5">
        <f>IF(B55="","",NOW())</f>
        <v/>
      </c>
    </row>
    <row r="56">
      <c r="A56" s="5">
        <f>IF(B56="","","MOUT-"&amp;TEXT(ROW()-1,"0000"))</f>
        <v/>
      </c>
      <c r="M56" s="5">
        <f>IF(B56="","",NOW())</f>
        <v/>
      </c>
    </row>
    <row r="57">
      <c r="A57" s="5">
        <f>IF(B57="","","MOUT-"&amp;TEXT(ROW()-1,"0000"))</f>
        <v/>
      </c>
      <c r="M57" s="5">
        <f>IF(B57="","",NOW())</f>
        <v/>
      </c>
    </row>
    <row r="58">
      <c r="A58" s="5">
        <f>IF(B58="","","MOUT-"&amp;TEXT(ROW()-1,"0000"))</f>
        <v/>
      </c>
      <c r="M58" s="5">
        <f>IF(B58="","",NOW())</f>
        <v/>
      </c>
    </row>
    <row r="59">
      <c r="A59" s="5">
        <f>IF(B59="","","MOUT-"&amp;TEXT(ROW()-1,"0000"))</f>
        <v/>
      </c>
      <c r="M59" s="5">
        <f>IF(B59="","",NOW())</f>
        <v/>
      </c>
    </row>
    <row r="60">
      <c r="A60" s="5">
        <f>IF(B60="","","MOUT-"&amp;TEXT(ROW()-1,"0000"))</f>
        <v/>
      </c>
      <c r="M60" s="5">
        <f>IF(B60="","",NOW())</f>
        <v/>
      </c>
    </row>
    <row r="61">
      <c r="A61" s="5">
        <f>IF(B61="","","MOUT-"&amp;TEXT(ROW()-1,"0000"))</f>
        <v/>
      </c>
      <c r="M61" s="5">
        <f>IF(B61="","",NOW())</f>
        <v/>
      </c>
    </row>
    <row r="62">
      <c r="A62" s="5">
        <f>IF(B62="","","MOUT-"&amp;TEXT(ROW()-1,"0000"))</f>
        <v/>
      </c>
      <c r="M62" s="5">
        <f>IF(B62="","",NOW())</f>
        <v/>
      </c>
    </row>
    <row r="63">
      <c r="A63" s="5">
        <f>IF(B63="","","MOUT-"&amp;TEXT(ROW()-1,"0000"))</f>
        <v/>
      </c>
      <c r="M63" s="5">
        <f>IF(B63="","",NOW())</f>
        <v/>
      </c>
    </row>
    <row r="64">
      <c r="A64" s="5">
        <f>IF(B64="","","MOUT-"&amp;TEXT(ROW()-1,"0000"))</f>
        <v/>
      </c>
      <c r="M64" s="5">
        <f>IF(B64="","",NOW())</f>
        <v/>
      </c>
    </row>
    <row r="65">
      <c r="A65" s="5">
        <f>IF(B65="","","MOUT-"&amp;TEXT(ROW()-1,"0000"))</f>
        <v/>
      </c>
      <c r="M65" s="5">
        <f>IF(B65="","",NOW())</f>
        <v/>
      </c>
    </row>
    <row r="66">
      <c r="A66" s="5">
        <f>IF(B66="","","MOUT-"&amp;TEXT(ROW()-1,"0000"))</f>
        <v/>
      </c>
      <c r="M66" s="5">
        <f>IF(B66="","",NOW())</f>
        <v/>
      </c>
    </row>
    <row r="67">
      <c r="A67" s="5">
        <f>IF(B67="","","MOUT-"&amp;TEXT(ROW()-1,"0000"))</f>
        <v/>
      </c>
      <c r="M67" s="5">
        <f>IF(B67="","",NOW())</f>
        <v/>
      </c>
    </row>
    <row r="68">
      <c r="A68" s="5">
        <f>IF(B68="","","MOUT-"&amp;TEXT(ROW()-1,"0000"))</f>
        <v/>
      </c>
      <c r="M68" s="5">
        <f>IF(B68="","",NOW())</f>
        <v/>
      </c>
    </row>
    <row r="69">
      <c r="A69" s="5">
        <f>IF(B69="","","MOUT-"&amp;TEXT(ROW()-1,"0000"))</f>
        <v/>
      </c>
      <c r="M69" s="5">
        <f>IF(B69="","",NOW())</f>
        <v/>
      </c>
    </row>
    <row r="70">
      <c r="A70" s="5">
        <f>IF(B70="","","MOUT-"&amp;TEXT(ROW()-1,"0000"))</f>
        <v/>
      </c>
      <c r="M70" s="5">
        <f>IF(B70="","",NOW())</f>
        <v/>
      </c>
    </row>
    <row r="71">
      <c r="A71" s="5">
        <f>IF(B71="","","MOUT-"&amp;TEXT(ROW()-1,"0000"))</f>
        <v/>
      </c>
      <c r="M71" s="5">
        <f>IF(B71="","",NOW())</f>
        <v/>
      </c>
    </row>
    <row r="72">
      <c r="A72" s="5">
        <f>IF(B72="","","MOUT-"&amp;TEXT(ROW()-1,"0000"))</f>
        <v/>
      </c>
      <c r="M72" s="5">
        <f>IF(B72="","",NOW())</f>
        <v/>
      </c>
    </row>
    <row r="73">
      <c r="A73" s="5">
        <f>IF(B73="","","MOUT-"&amp;TEXT(ROW()-1,"0000"))</f>
        <v/>
      </c>
      <c r="M73" s="5">
        <f>IF(B73="","",NOW())</f>
        <v/>
      </c>
    </row>
    <row r="74">
      <c r="A74" s="5">
        <f>IF(B74="","","MOUT-"&amp;TEXT(ROW()-1,"0000"))</f>
        <v/>
      </c>
      <c r="M74" s="5">
        <f>IF(B74="","",NOW())</f>
        <v/>
      </c>
    </row>
    <row r="75">
      <c r="A75" s="5">
        <f>IF(B75="","","MOUT-"&amp;TEXT(ROW()-1,"0000"))</f>
        <v/>
      </c>
      <c r="M75" s="5">
        <f>IF(B75="","",NOW())</f>
        <v/>
      </c>
    </row>
    <row r="76">
      <c r="A76" s="5">
        <f>IF(B76="","","MOUT-"&amp;TEXT(ROW()-1,"0000"))</f>
        <v/>
      </c>
      <c r="M76" s="5">
        <f>IF(B76="","",NOW())</f>
        <v/>
      </c>
    </row>
    <row r="77">
      <c r="A77" s="5">
        <f>IF(B77="","","MOUT-"&amp;TEXT(ROW()-1,"0000"))</f>
        <v/>
      </c>
      <c r="M77" s="5">
        <f>IF(B77="","",NOW())</f>
        <v/>
      </c>
    </row>
    <row r="78">
      <c r="A78" s="5">
        <f>IF(B78="","","MOUT-"&amp;TEXT(ROW()-1,"0000"))</f>
        <v/>
      </c>
      <c r="M78" s="5">
        <f>IF(B78="","",NOW())</f>
        <v/>
      </c>
    </row>
    <row r="79">
      <c r="A79" s="5">
        <f>IF(B79="","","MOUT-"&amp;TEXT(ROW()-1,"0000"))</f>
        <v/>
      </c>
      <c r="M79" s="5">
        <f>IF(B79="","",NOW())</f>
        <v/>
      </c>
    </row>
    <row r="80">
      <c r="A80" s="5">
        <f>IF(B80="","","MOUT-"&amp;TEXT(ROW()-1,"0000"))</f>
        <v/>
      </c>
      <c r="M80" s="5">
        <f>IF(B80="","",NOW())</f>
        <v/>
      </c>
    </row>
    <row r="81">
      <c r="A81" s="5">
        <f>IF(B81="","","MOUT-"&amp;TEXT(ROW()-1,"0000"))</f>
        <v/>
      </c>
      <c r="M81" s="5">
        <f>IF(B81="","",NOW())</f>
        <v/>
      </c>
    </row>
    <row r="82">
      <c r="A82" s="5">
        <f>IF(B82="","","MOUT-"&amp;TEXT(ROW()-1,"0000"))</f>
        <v/>
      </c>
      <c r="M82" s="5">
        <f>IF(B82="","",NOW())</f>
        <v/>
      </c>
    </row>
    <row r="83">
      <c r="A83" s="5">
        <f>IF(B83="","","MOUT-"&amp;TEXT(ROW()-1,"0000"))</f>
        <v/>
      </c>
      <c r="M83" s="5">
        <f>IF(B83="","",NOW())</f>
        <v/>
      </c>
    </row>
    <row r="84">
      <c r="A84" s="5">
        <f>IF(B84="","","MOUT-"&amp;TEXT(ROW()-1,"0000"))</f>
        <v/>
      </c>
      <c r="M84" s="5">
        <f>IF(B84="","",NOW())</f>
        <v/>
      </c>
    </row>
    <row r="85">
      <c r="A85" s="5">
        <f>IF(B85="","","MOUT-"&amp;TEXT(ROW()-1,"0000"))</f>
        <v/>
      </c>
      <c r="M85" s="5">
        <f>IF(B85="","",NOW())</f>
        <v/>
      </c>
    </row>
    <row r="86">
      <c r="A86" s="5">
        <f>IF(B86="","","MOUT-"&amp;TEXT(ROW()-1,"0000"))</f>
        <v/>
      </c>
      <c r="M86" s="5">
        <f>IF(B86="","",NOW())</f>
        <v/>
      </c>
    </row>
    <row r="87">
      <c r="A87" s="5">
        <f>IF(B87="","","MOUT-"&amp;TEXT(ROW()-1,"0000"))</f>
        <v/>
      </c>
      <c r="M87" s="5">
        <f>IF(B87="","",NOW())</f>
        <v/>
      </c>
    </row>
    <row r="88">
      <c r="A88" s="5">
        <f>IF(B88="","","MOUT-"&amp;TEXT(ROW()-1,"0000"))</f>
        <v/>
      </c>
      <c r="M88" s="5">
        <f>IF(B88="","",NOW())</f>
        <v/>
      </c>
    </row>
    <row r="89">
      <c r="A89" s="5">
        <f>IF(B89="","","MOUT-"&amp;TEXT(ROW()-1,"0000"))</f>
        <v/>
      </c>
      <c r="M89" s="5">
        <f>IF(B89="","",NOW())</f>
        <v/>
      </c>
    </row>
    <row r="90">
      <c r="A90" s="5">
        <f>IF(B90="","","MOUT-"&amp;TEXT(ROW()-1,"0000"))</f>
        <v/>
      </c>
      <c r="M90" s="5">
        <f>IF(B90="","",NOW())</f>
        <v/>
      </c>
    </row>
    <row r="91">
      <c r="A91" s="5">
        <f>IF(B91="","","MOUT-"&amp;TEXT(ROW()-1,"0000"))</f>
        <v/>
      </c>
      <c r="M91" s="5">
        <f>IF(B91="","",NOW())</f>
        <v/>
      </c>
    </row>
    <row r="92">
      <c r="A92" s="5">
        <f>IF(B92="","","MOUT-"&amp;TEXT(ROW()-1,"0000"))</f>
        <v/>
      </c>
      <c r="M92" s="5">
        <f>IF(B92="","",NOW())</f>
        <v/>
      </c>
    </row>
    <row r="93">
      <c r="A93" s="5">
        <f>IF(B93="","","MOUT-"&amp;TEXT(ROW()-1,"0000"))</f>
        <v/>
      </c>
      <c r="M93" s="5">
        <f>IF(B93="","",NOW())</f>
        <v/>
      </c>
    </row>
    <row r="94">
      <c r="A94" s="5">
        <f>IF(B94="","","MOUT-"&amp;TEXT(ROW()-1,"0000"))</f>
        <v/>
      </c>
      <c r="M94" s="5">
        <f>IF(B94="","",NOW())</f>
        <v/>
      </c>
    </row>
    <row r="95">
      <c r="A95" s="5">
        <f>IF(B95="","","MOUT-"&amp;TEXT(ROW()-1,"0000"))</f>
        <v/>
      </c>
      <c r="M95" s="5">
        <f>IF(B95="","",NOW())</f>
        <v/>
      </c>
    </row>
    <row r="96">
      <c r="A96" s="5">
        <f>IF(B96="","","MOUT-"&amp;TEXT(ROW()-1,"0000"))</f>
        <v/>
      </c>
      <c r="M96" s="5">
        <f>IF(B96="","",NOW())</f>
        <v/>
      </c>
    </row>
    <row r="97">
      <c r="A97" s="5">
        <f>IF(B97="","","MOUT-"&amp;TEXT(ROW()-1,"0000"))</f>
        <v/>
      </c>
      <c r="M97" s="5">
        <f>IF(B97="","",NOW())</f>
        <v/>
      </c>
    </row>
    <row r="98">
      <c r="A98" s="5">
        <f>IF(B98="","","MOUT-"&amp;TEXT(ROW()-1,"0000"))</f>
        <v/>
      </c>
      <c r="M98" s="5">
        <f>IF(B98="","",NOW())</f>
        <v/>
      </c>
    </row>
    <row r="99">
      <c r="A99" s="5">
        <f>IF(B99="","","MOUT-"&amp;TEXT(ROW()-1,"0000"))</f>
        <v/>
      </c>
      <c r="M99" s="5">
        <f>IF(B99="","",NOW())</f>
        <v/>
      </c>
    </row>
    <row r="100">
      <c r="A100" s="5">
        <f>IF(B100="","","MOUT-"&amp;TEXT(ROW()-1,"0000"))</f>
        <v/>
      </c>
      <c r="M100" s="5">
        <f>IF(B100="","",NOW())</f>
        <v/>
      </c>
    </row>
    <row r="101">
      <c r="A101" s="5">
        <f>IF(B101="","","MOUT-"&amp;TEXT(ROW()-1,"0000"))</f>
        <v/>
      </c>
      <c r="M101" s="5">
        <f>IF(B101="","",NOW())</f>
        <v/>
      </c>
    </row>
    <row r="102">
      <c r="A102" s="5">
        <f>IF(B102="","","MOUT-"&amp;TEXT(ROW()-1,"0000"))</f>
        <v/>
      </c>
      <c r="M102" s="5">
        <f>IF(B102="","",NOW())</f>
        <v/>
      </c>
    </row>
    <row r="103">
      <c r="A103" s="5">
        <f>IF(B103="","","MOUT-"&amp;TEXT(ROW()-1,"0000"))</f>
        <v/>
      </c>
      <c r="M103" s="5">
        <f>IF(B103="","",NOW())</f>
        <v/>
      </c>
    </row>
    <row r="104">
      <c r="A104" s="5">
        <f>IF(B104="","","MOUT-"&amp;TEXT(ROW()-1,"0000"))</f>
        <v/>
      </c>
      <c r="M104" s="5">
        <f>IF(B104="","",NOW())</f>
        <v/>
      </c>
    </row>
    <row r="105">
      <c r="A105" s="5">
        <f>IF(B105="","","MOUT-"&amp;TEXT(ROW()-1,"0000"))</f>
        <v/>
      </c>
      <c r="M105" s="5">
        <f>IF(B105="","",NOW())</f>
        <v/>
      </c>
    </row>
    <row r="106">
      <c r="A106" s="5">
        <f>IF(B106="","","MOUT-"&amp;TEXT(ROW()-1,"0000"))</f>
        <v/>
      </c>
      <c r="M106" s="5">
        <f>IF(B106="","",NOW())</f>
        <v/>
      </c>
    </row>
    <row r="107">
      <c r="A107" s="5">
        <f>IF(B107="","","MOUT-"&amp;TEXT(ROW()-1,"0000"))</f>
        <v/>
      </c>
      <c r="M107" s="5">
        <f>IF(B107="","",NOW())</f>
        <v/>
      </c>
    </row>
    <row r="108">
      <c r="A108" s="5">
        <f>IF(B108="","","MOUT-"&amp;TEXT(ROW()-1,"0000"))</f>
        <v/>
      </c>
      <c r="M108" s="5">
        <f>IF(B108="","",NOW())</f>
        <v/>
      </c>
    </row>
    <row r="109">
      <c r="A109" s="5">
        <f>IF(B109="","","MOUT-"&amp;TEXT(ROW()-1,"0000"))</f>
        <v/>
      </c>
      <c r="M109" s="5">
        <f>IF(B109="","",NOW())</f>
        <v/>
      </c>
    </row>
    <row r="110">
      <c r="A110" s="5">
        <f>IF(B110="","","MOUT-"&amp;TEXT(ROW()-1,"0000"))</f>
        <v/>
      </c>
      <c r="M110" s="5">
        <f>IF(B110="","",NOW())</f>
        <v/>
      </c>
    </row>
    <row r="111">
      <c r="A111" s="5">
        <f>IF(B111="","","MOUT-"&amp;TEXT(ROW()-1,"0000"))</f>
        <v/>
      </c>
      <c r="M111" s="5">
        <f>IF(B111="","",NOW())</f>
        <v/>
      </c>
    </row>
    <row r="112">
      <c r="A112" s="5">
        <f>IF(B112="","","MOUT-"&amp;TEXT(ROW()-1,"0000"))</f>
        <v/>
      </c>
      <c r="M112" s="5">
        <f>IF(B112="","",NOW())</f>
        <v/>
      </c>
    </row>
    <row r="113">
      <c r="A113" s="5">
        <f>IF(B113="","","MOUT-"&amp;TEXT(ROW()-1,"0000"))</f>
        <v/>
      </c>
      <c r="M113" s="5">
        <f>IF(B113="","",NOW())</f>
        <v/>
      </c>
    </row>
    <row r="114">
      <c r="A114" s="5">
        <f>IF(B114="","","MOUT-"&amp;TEXT(ROW()-1,"0000"))</f>
        <v/>
      </c>
      <c r="M114" s="5">
        <f>IF(B114="","",NOW())</f>
        <v/>
      </c>
    </row>
    <row r="115">
      <c r="A115" s="5">
        <f>IF(B115="","","MOUT-"&amp;TEXT(ROW()-1,"0000"))</f>
        <v/>
      </c>
      <c r="M115" s="5">
        <f>IF(B115="","",NOW())</f>
        <v/>
      </c>
    </row>
    <row r="116">
      <c r="A116" s="5">
        <f>IF(B116="","","MOUT-"&amp;TEXT(ROW()-1,"0000"))</f>
        <v/>
      </c>
      <c r="M116" s="5">
        <f>IF(B116="","",NOW())</f>
        <v/>
      </c>
    </row>
    <row r="117">
      <c r="A117" s="5">
        <f>IF(B117="","","MOUT-"&amp;TEXT(ROW()-1,"0000"))</f>
        <v/>
      </c>
      <c r="M117" s="5">
        <f>IF(B117="","",NOW())</f>
        <v/>
      </c>
    </row>
    <row r="118">
      <c r="A118" s="5">
        <f>IF(B118="","","MOUT-"&amp;TEXT(ROW()-1,"0000"))</f>
        <v/>
      </c>
      <c r="M118" s="5">
        <f>IF(B118="","",NOW())</f>
        <v/>
      </c>
    </row>
    <row r="119">
      <c r="A119" s="5">
        <f>IF(B119="","","MOUT-"&amp;TEXT(ROW()-1,"0000"))</f>
        <v/>
      </c>
      <c r="M119" s="5">
        <f>IF(B119="","",NOW())</f>
        <v/>
      </c>
    </row>
    <row r="120">
      <c r="A120" s="5">
        <f>IF(B120="","","MOUT-"&amp;TEXT(ROW()-1,"0000"))</f>
        <v/>
      </c>
      <c r="M120" s="5">
        <f>IF(B120="","",NOW())</f>
        <v/>
      </c>
    </row>
    <row r="121">
      <c r="A121" s="5">
        <f>IF(B121="","","MOUT-"&amp;TEXT(ROW()-1,"0000"))</f>
        <v/>
      </c>
      <c r="M121" s="5">
        <f>IF(B121="","",NOW())</f>
        <v/>
      </c>
    </row>
    <row r="122">
      <c r="A122" s="5">
        <f>IF(B122="","","MOUT-"&amp;TEXT(ROW()-1,"0000"))</f>
        <v/>
      </c>
      <c r="M122" s="5">
        <f>IF(B122="","",NOW())</f>
        <v/>
      </c>
    </row>
    <row r="123">
      <c r="A123" s="5">
        <f>IF(B123="","","MOUT-"&amp;TEXT(ROW()-1,"0000"))</f>
        <v/>
      </c>
      <c r="M123" s="5">
        <f>IF(B123="","",NOW())</f>
        <v/>
      </c>
    </row>
    <row r="124">
      <c r="A124" s="5">
        <f>IF(B124="","","MOUT-"&amp;TEXT(ROW()-1,"0000"))</f>
        <v/>
      </c>
      <c r="M124" s="5">
        <f>IF(B124="","",NOW())</f>
        <v/>
      </c>
    </row>
    <row r="125">
      <c r="A125" s="5">
        <f>IF(B125="","","MOUT-"&amp;TEXT(ROW()-1,"0000"))</f>
        <v/>
      </c>
      <c r="M125" s="5">
        <f>IF(B125="","",NOW())</f>
        <v/>
      </c>
    </row>
    <row r="126">
      <c r="A126" s="5">
        <f>IF(B126="","","MOUT-"&amp;TEXT(ROW()-1,"0000"))</f>
        <v/>
      </c>
      <c r="M126" s="5">
        <f>IF(B126="","",NOW())</f>
        <v/>
      </c>
    </row>
    <row r="127">
      <c r="A127" s="5">
        <f>IF(B127="","","MOUT-"&amp;TEXT(ROW()-1,"0000"))</f>
        <v/>
      </c>
      <c r="M127" s="5">
        <f>IF(B127="","",NOW())</f>
        <v/>
      </c>
    </row>
    <row r="128">
      <c r="A128" s="5">
        <f>IF(B128="","","MOUT-"&amp;TEXT(ROW()-1,"0000"))</f>
        <v/>
      </c>
      <c r="M128" s="5">
        <f>IF(B128="","",NOW())</f>
        <v/>
      </c>
    </row>
    <row r="129">
      <c r="A129" s="5">
        <f>IF(B129="","","MOUT-"&amp;TEXT(ROW()-1,"0000"))</f>
        <v/>
      </c>
      <c r="M129" s="5">
        <f>IF(B129="","",NOW())</f>
        <v/>
      </c>
    </row>
    <row r="130">
      <c r="A130" s="5">
        <f>IF(B130="","","MOUT-"&amp;TEXT(ROW()-1,"0000"))</f>
        <v/>
      </c>
      <c r="M130" s="5">
        <f>IF(B130="","",NOW())</f>
        <v/>
      </c>
    </row>
    <row r="131">
      <c r="A131" s="5">
        <f>IF(B131="","","MOUT-"&amp;TEXT(ROW()-1,"0000"))</f>
        <v/>
      </c>
      <c r="M131" s="5">
        <f>IF(B131="","",NOW())</f>
        <v/>
      </c>
    </row>
    <row r="132">
      <c r="A132" s="5">
        <f>IF(B132="","","MOUT-"&amp;TEXT(ROW()-1,"0000"))</f>
        <v/>
      </c>
      <c r="M132" s="5">
        <f>IF(B132="","",NOW())</f>
        <v/>
      </c>
    </row>
    <row r="133">
      <c r="A133" s="5">
        <f>IF(B133="","","MOUT-"&amp;TEXT(ROW()-1,"0000"))</f>
        <v/>
      </c>
      <c r="M133" s="5">
        <f>IF(B133="","",NOW())</f>
        <v/>
      </c>
    </row>
    <row r="134">
      <c r="A134" s="5">
        <f>IF(B134="","","MOUT-"&amp;TEXT(ROW()-1,"0000"))</f>
        <v/>
      </c>
      <c r="M134" s="5">
        <f>IF(B134="","",NOW())</f>
        <v/>
      </c>
    </row>
    <row r="135">
      <c r="A135" s="5">
        <f>IF(B135="","","MOUT-"&amp;TEXT(ROW()-1,"0000"))</f>
        <v/>
      </c>
      <c r="M135" s="5">
        <f>IF(B135="","",NOW())</f>
        <v/>
      </c>
    </row>
    <row r="136">
      <c r="A136" s="5">
        <f>IF(B136="","","MOUT-"&amp;TEXT(ROW()-1,"0000"))</f>
        <v/>
      </c>
      <c r="M136" s="5">
        <f>IF(B136="","",NOW())</f>
        <v/>
      </c>
    </row>
    <row r="137">
      <c r="A137" s="5">
        <f>IF(B137="","","MOUT-"&amp;TEXT(ROW()-1,"0000"))</f>
        <v/>
      </c>
      <c r="M137" s="5">
        <f>IF(B137="","",NOW())</f>
        <v/>
      </c>
    </row>
    <row r="138">
      <c r="A138" s="5">
        <f>IF(B138="","","MOUT-"&amp;TEXT(ROW()-1,"0000"))</f>
        <v/>
      </c>
      <c r="M138" s="5">
        <f>IF(B138="","",NOW())</f>
        <v/>
      </c>
    </row>
    <row r="139">
      <c r="A139" s="5">
        <f>IF(B139="","","MOUT-"&amp;TEXT(ROW()-1,"0000"))</f>
        <v/>
      </c>
      <c r="M139" s="5">
        <f>IF(B139="","",NOW())</f>
        <v/>
      </c>
    </row>
    <row r="140">
      <c r="A140" s="5">
        <f>IF(B140="","","MOUT-"&amp;TEXT(ROW()-1,"0000"))</f>
        <v/>
      </c>
      <c r="M140" s="5">
        <f>IF(B140="","",NOW())</f>
        <v/>
      </c>
    </row>
    <row r="141">
      <c r="A141" s="5">
        <f>IF(B141="","","MOUT-"&amp;TEXT(ROW()-1,"0000"))</f>
        <v/>
      </c>
      <c r="M141" s="5">
        <f>IF(B141="","",NOW())</f>
        <v/>
      </c>
    </row>
    <row r="142">
      <c r="A142" s="5">
        <f>IF(B142="","","MOUT-"&amp;TEXT(ROW()-1,"0000"))</f>
        <v/>
      </c>
      <c r="M142" s="5">
        <f>IF(B142="","",NOW())</f>
        <v/>
      </c>
    </row>
    <row r="143">
      <c r="A143" s="5">
        <f>IF(B143="","","MOUT-"&amp;TEXT(ROW()-1,"0000"))</f>
        <v/>
      </c>
      <c r="M143" s="5">
        <f>IF(B143="","",NOW())</f>
        <v/>
      </c>
    </row>
    <row r="144">
      <c r="A144" s="5">
        <f>IF(B144="","","MOUT-"&amp;TEXT(ROW()-1,"0000"))</f>
        <v/>
      </c>
      <c r="M144" s="5">
        <f>IF(B144="","",NOW())</f>
        <v/>
      </c>
    </row>
    <row r="145">
      <c r="A145" s="5">
        <f>IF(B145="","","MOUT-"&amp;TEXT(ROW()-1,"0000"))</f>
        <v/>
      </c>
      <c r="M145" s="5">
        <f>IF(B145="","",NOW())</f>
        <v/>
      </c>
    </row>
    <row r="146">
      <c r="A146" s="5">
        <f>IF(B146="","","MOUT-"&amp;TEXT(ROW()-1,"0000"))</f>
        <v/>
      </c>
      <c r="M146" s="5">
        <f>IF(B146="","",NOW())</f>
        <v/>
      </c>
    </row>
    <row r="147">
      <c r="A147" s="5">
        <f>IF(B147="","","MOUT-"&amp;TEXT(ROW()-1,"0000"))</f>
        <v/>
      </c>
      <c r="M147" s="5">
        <f>IF(B147="","",NOW())</f>
        <v/>
      </c>
    </row>
    <row r="148">
      <c r="A148" s="5">
        <f>IF(B148="","","MOUT-"&amp;TEXT(ROW()-1,"0000"))</f>
        <v/>
      </c>
      <c r="M148" s="5">
        <f>IF(B148="","",NOW())</f>
        <v/>
      </c>
    </row>
    <row r="149">
      <c r="A149" s="5">
        <f>IF(B149="","","MOUT-"&amp;TEXT(ROW()-1,"0000"))</f>
        <v/>
      </c>
      <c r="M149" s="5">
        <f>IF(B149="","",NOW())</f>
        <v/>
      </c>
    </row>
    <row r="150">
      <c r="A150" s="5">
        <f>IF(B150="","","MOUT-"&amp;TEXT(ROW()-1,"0000"))</f>
        <v/>
      </c>
      <c r="M150" s="5">
        <f>IF(B150="","",NOW())</f>
        <v/>
      </c>
    </row>
    <row r="151">
      <c r="A151" s="5">
        <f>IF(B151="","","MOUT-"&amp;TEXT(ROW()-1,"0000"))</f>
        <v/>
      </c>
      <c r="M151" s="5">
        <f>IF(B151="","",NOW())</f>
        <v/>
      </c>
    </row>
    <row r="152">
      <c r="A152" s="5">
        <f>IF(B152="","","MOUT-"&amp;TEXT(ROW()-1,"0000"))</f>
        <v/>
      </c>
      <c r="M152" s="5">
        <f>IF(B152="","",NOW())</f>
        <v/>
      </c>
    </row>
    <row r="153">
      <c r="A153" s="5">
        <f>IF(B153="","","MOUT-"&amp;TEXT(ROW()-1,"0000"))</f>
        <v/>
      </c>
      <c r="M153" s="5">
        <f>IF(B153="","",NOW())</f>
        <v/>
      </c>
    </row>
    <row r="154">
      <c r="A154" s="5">
        <f>IF(B154="","","MOUT-"&amp;TEXT(ROW()-1,"0000"))</f>
        <v/>
      </c>
      <c r="M154" s="5">
        <f>IF(B154="","",NOW())</f>
        <v/>
      </c>
    </row>
    <row r="155">
      <c r="A155" s="5">
        <f>IF(B155="","","MOUT-"&amp;TEXT(ROW()-1,"0000"))</f>
        <v/>
      </c>
      <c r="M155" s="5">
        <f>IF(B155="","",NOW())</f>
        <v/>
      </c>
    </row>
    <row r="156">
      <c r="A156" s="5">
        <f>IF(B156="","","MOUT-"&amp;TEXT(ROW()-1,"0000"))</f>
        <v/>
      </c>
      <c r="M156" s="5">
        <f>IF(B156="","",NOW())</f>
        <v/>
      </c>
    </row>
    <row r="157">
      <c r="A157" s="5">
        <f>IF(B157="","","MOUT-"&amp;TEXT(ROW()-1,"0000"))</f>
        <v/>
      </c>
      <c r="M157" s="5">
        <f>IF(B157="","",NOW())</f>
        <v/>
      </c>
    </row>
    <row r="158">
      <c r="A158" s="5">
        <f>IF(B158="","","MOUT-"&amp;TEXT(ROW()-1,"0000"))</f>
        <v/>
      </c>
      <c r="M158" s="5">
        <f>IF(B158="","",NOW())</f>
        <v/>
      </c>
    </row>
    <row r="159">
      <c r="A159" s="5">
        <f>IF(B159="","","MOUT-"&amp;TEXT(ROW()-1,"0000"))</f>
        <v/>
      </c>
      <c r="M159" s="5">
        <f>IF(B159="","",NOW())</f>
        <v/>
      </c>
    </row>
    <row r="160">
      <c r="A160" s="5">
        <f>IF(B160="","","MOUT-"&amp;TEXT(ROW()-1,"0000"))</f>
        <v/>
      </c>
      <c r="M160" s="5">
        <f>IF(B160="","",NOW())</f>
        <v/>
      </c>
    </row>
    <row r="161">
      <c r="A161" s="5">
        <f>IF(B161="","","MOUT-"&amp;TEXT(ROW()-1,"0000"))</f>
        <v/>
      </c>
      <c r="M161" s="5">
        <f>IF(B161="","",NOW())</f>
        <v/>
      </c>
    </row>
    <row r="162">
      <c r="A162" s="5">
        <f>IF(B162="","","MOUT-"&amp;TEXT(ROW()-1,"0000"))</f>
        <v/>
      </c>
      <c r="M162" s="5">
        <f>IF(B162="","",NOW())</f>
        <v/>
      </c>
    </row>
    <row r="163">
      <c r="A163" s="5">
        <f>IF(B163="","","MOUT-"&amp;TEXT(ROW()-1,"0000"))</f>
        <v/>
      </c>
      <c r="M163" s="5">
        <f>IF(B163="","",NOW())</f>
        <v/>
      </c>
    </row>
    <row r="164">
      <c r="A164" s="5">
        <f>IF(B164="","","MOUT-"&amp;TEXT(ROW()-1,"0000"))</f>
        <v/>
      </c>
      <c r="M164" s="5">
        <f>IF(B164="","",NOW())</f>
        <v/>
      </c>
    </row>
    <row r="165">
      <c r="A165" s="5">
        <f>IF(B165="","","MOUT-"&amp;TEXT(ROW()-1,"0000"))</f>
        <v/>
      </c>
      <c r="M165" s="5">
        <f>IF(B165="","",NOW())</f>
        <v/>
      </c>
    </row>
    <row r="166">
      <c r="A166" s="5">
        <f>IF(B166="","","MOUT-"&amp;TEXT(ROW()-1,"0000"))</f>
        <v/>
      </c>
      <c r="M166" s="5">
        <f>IF(B166="","",NOW())</f>
        <v/>
      </c>
    </row>
    <row r="167">
      <c r="A167" s="5">
        <f>IF(B167="","","MOUT-"&amp;TEXT(ROW()-1,"0000"))</f>
        <v/>
      </c>
      <c r="M167" s="5">
        <f>IF(B167="","",NOW())</f>
        <v/>
      </c>
    </row>
    <row r="168">
      <c r="A168" s="5">
        <f>IF(B168="","","MOUT-"&amp;TEXT(ROW()-1,"0000"))</f>
        <v/>
      </c>
      <c r="M168" s="5">
        <f>IF(B168="","",NOW())</f>
        <v/>
      </c>
    </row>
    <row r="169">
      <c r="A169" s="5">
        <f>IF(B169="","","MOUT-"&amp;TEXT(ROW()-1,"0000"))</f>
        <v/>
      </c>
      <c r="M169" s="5">
        <f>IF(B169="","",NOW())</f>
        <v/>
      </c>
    </row>
    <row r="170">
      <c r="A170" s="5">
        <f>IF(B170="","","MOUT-"&amp;TEXT(ROW()-1,"0000"))</f>
        <v/>
      </c>
      <c r="M170" s="5">
        <f>IF(B170="","",NOW())</f>
        <v/>
      </c>
    </row>
    <row r="171">
      <c r="A171" s="5">
        <f>IF(B171="","","MOUT-"&amp;TEXT(ROW()-1,"0000"))</f>
        <v/>
      </c>
      <c r="M171" s="5">
        <f>IF(B171="","",NOW())</f>
        <v/>
      </c>
    </row>
    <row r="172">
      <c r="A172" s="5">
        <f>IF(B172="","","MOUT-"&amp;TEXT(ROW()-1,"0000"))</f>
        <v/>
      </c>
      <c r="M172" s="5">
        <f>IF(B172="","",NOW())</f>
        <v/>
      </c>
    </row>
    <row r="173">
      <c r="A173" s="5">
        <f>IF(B173="","","MOUT-"&amp;TEXT(ROW()-1,"0000"))</f>
        <v/>
      </c>
      <c r="M173" s="5">
        <f>IF(B173="","",NOW())</f>
        <v/>
      </c>
    </row>
    <row r="174">
      <c r="A174" s="5">
        <f>IF(B174="","","MOUT-"&amp;TEXT(ROW()-1,"0000"))</f>
        <v/>
      </c>
      <c r="M174" s="5">
        <f>IF(B174="","",NOW())</f>
        <v/>
      </c>
    </row>
    <row r="175">
      <c r="A175" s="5">
        <f>IF(B175="","","MOUT-"&amp;TEXT(ROW()-1,"0000"))</f>
        <v/>
      </c>
      <c r="M175" s="5">
        <f>IF(B175="","",NOW())</f>
        <v/>
      </c>
    </row>
    <row r="176">
      <c r="A176" s="5">
        <f>IF(B176="","","MOUT-"&amp;TEXT(ROW()-1,"0000"))</f>
        <v/>
      </c>
      <c r="M176" s="5">
        <f>IF(B176="","",NOW())</f>
        <v/>
      </c>
    </row>
    <row r="177">
      <c r="A177" s="5">
        <f>IF(B177="","","MOUT-"&amp;TEXT(ROW()-1,"0000"))</f>
        <v/>
      </c>
      <c r="M177" s="5">
        <f>IF(B177="","",NOW())</f>
        <v/>
      </c>
    </row>
    <row r="178">
      <c r="A178" s="5">
        <f>IF(B178="","","MOUT-"&amp;TEXT(ROW()-1,"0000"))</f>
        <v/>
      </c>
      <c r="M178" s="5">
        <f>IF(B178="","",NOW())</f>
        <v/>
      </c>
    </row>
    <row r="179">
      <c r="A179" s="5">
        <f>IF(B179="","","MOUT-"&amp;TEXT(ROW()-1,"0000"))</f>
        <v/>
      </c>
      <c r="M179" s="5">
        <f>IF(B179="","",NOW())</f>
        <v/>
      </c>
    </row>
    <row r="180">
      <c r="A180" s="5">
        <f>IF(B180="","","MOUT-"&amp;TEXT(ROW()-1,"0000"))</f>
        <v/>
      </c>
      <c r="M180" s="5">
        <f>IF(B180="","",NOW())</f>
        <v/>
      </c>
    </row>
    <row r="181">
      <c r="A181" s="5">
        <f>IF(B181="","","MOUT-"&amp;TEXT(ROW()-1,"0000"))</f>
        <v/>
      </c>
      <c r="M181" s="5">
        <f>IF(B181="","",NOW())</f>
        <v/>
      </c>
    </row>
    <row r="182">
      <c r="A182" s="5">
        <f>IF(B182="","","MOUT-"&amp;TEXT(ROW()-1,"0000"))</f>
        <v/>
      </c>
      <c r="M182" s="5">
        <f>IF(B182="","",NOW())</f>
        <v/>
      </c>
    </row>
    <row r="183">
      <c r="A183" s="5">
        <f>IF(B183="","","MOUT-"&amp;TEXT(ROW()-1,"0000"))</f>
        <v/>
      </c>
      <c r="M183" s="5">
        <f>IF(B183="","",NOW())</f>
        <v/>
      </c>
    </row>
    <row r="184">
      <c r="A184" s="5">
        <f>IF(B184="","","MOUT-"&amp;TEXT(ROW()-1,"0000"))</f>
        <v/>
      </c>
      <c r="M184" s="5">
        <f>IF(B184="","",NOW())</f>
        <v/>
      </c>
    </row>
    <row r="185">
      <c r="A185" s="5">
        <f>IF(B185="","","MOUT-"&amp;TEXT(ROW()-1,"0000"))</f>
        <v/>
      </c>
      <c r="M185" s="5">
        <f>IF(B185="","",NOW())</f>
        <v/>
      </c>
    </row>
    <row r="186">
      <c r="A186" s="5">
        <f>IF(B186="","","MOUT-"&amp;TEXT(ROW()-1,"0000"))</f>
        <v/>
      </c>
      <c r="M186" s="5">
        <f>IF(B186="","",NOW())</f>
        <v/>
      </c>
    </row>
    <row r="187">
      <c r="A187" s="5">
        <f>IF(B187="","","MOUT-"&amp;TEXT(ROW()-1,"0000"))</f>
        <v/>
      </c>
      <c r="M187" s="5">
        <f>IF(B187="","",NOW())</f>
        <v/>
      </c>
    </row>
    <row r="188">
      <c r="A188" s="5">
        <f>IF(B188="","","MOUT-"&amp;TEXT(ROW()-1,"0000"))</f>
        <v/>
      </c>
      <c r="M188" s="5">
        <f>IF(B188="","",NOW())</f>
        <v/>
      </c>
    </row>
    <row r="189">
      <c r="A189" s="5">
        <f>IF(B189="","","MOUT-"&amp;TEXT(ROW()-1,"0000"))</f>
        <v/>
      </c>
      <c r="M189" s="5">
        <f>IF(B189="","",NOW())</f>
        <v/>
      </c>
    </row>
    <row r="190">
      <c r="A190" s="5">
        <f>IF(B190="","","MOUT-"&amp;TEXT(ROW()-1,"0000"))</f>
        <v/>
      </c>
      <c r="M190" s="5">
        <f>IF(B190="","",NOW())</f>
        <v/>
      </c>
    </row>
    <row r="191">
      <c r="A191" s="5">
        <f>IF(B191="","","MOUT-"&amp;TEXT(ROW()-1,"0000"))</f>
        <v/>
      </c>
      <c r="M191" s="5">
        <f>IF(B191="","",NOW())</f>
        <v/>
      </c>
    </row>
    <row r="192">
      <c r="A192" s="5">
        <f>IF(B192="","","MOUT-"&amp;TEXT(ROW()-1,"0000"))</f>
        <v/>
      </c>
      <c r="M192" s="5">
        <f>IF(B192="","",NOW())</f>
        <v/>
      </c>
    </row>
    <row r="193">
      <c r="A193" s="5">
        <f>IF(B193="","","MOUT-"&amp;TEXT(ROW()-1,"0000"))</f>
        <v/>
      </c>
      <c r="M193" s="5">
        <f>IF(B193="","",NOW())</f>
        <v/>
      </c>
    </row>
    <row r="194">
      <c r="A194" s="5">
        <f>IF(B194="","","MOUT-"&amp;TEXT(ROW()-1,"0000"))</f>
        <v/>
      </c>
      <c r="M194" s="5">
        <f>IF(B194="","",NOW())</f>
        <v/>
      </c>
    </row>
    <row r="195">
      <c r="A195" s="5">
        <f>IF(B195="","","MOUT-"&amp;TEXT(ROW()-1,"0000"))</f>
        <v/>
      </c>
      <c r="M195" s="5">
        <f>IF(B195="","",NOW())</f>
        <v/>
      </c>
    </row>
    <row r="196">
      <c r="A196" s="5">
        <f>IF(B196="","","MOUT-"&amp;TEXT(ROW()-1,"0000"))</f>
        <v/>
      </c>
      <c r="M196" s="5">
        <f>IF(B196="","",NOW())</f>
        <v/>
      </c>
    </row>
    <row r="197">
      <c r="A197" s="5">
        <f>IF(B197="","","MOUT-"&amp;TEXT(ROW()-1,"0000"))</f>
        <v/>
      </c>
      <c r="M197" s="5">
        <f>IF(B197="","",NOW())</f>
        <v/>
      </c>
    </row>
    <row r="198">
      <c r="A198" s="5">
        <f>IF(B198="","","MOUT-"&amp;TEXT(ROW()-1,"0000"))</f>
        <v/>
      </c>
      <c r="M198" s="5">
        <f>IF(B198="","",NOW())</f>
        <v/>
      </c>
    </row>
    <row r="199">
      <c r="A199" s="5">
        <f>IF(B199="","","MOUT-"&amp;TEXT(ROW()-1,"0000"))</f>
        <v/>
      </c>
      <c r="M199" s="5">
        <f>IF(B199="","",NOW())</f>
        <v/>
      </c>
    </row>
    <row r="200">
      <c r="A200" s="5">
        <f>IF(B200="","","MOUT-"&amp;TEXT(ROW()-1,"0000"))</f>
        <v/>
      </c>
      <c r="M200" s="5">
        <f>IF(B200="","",NOW())</f>
        <v/>
      </c>
    </row>
    <row r="201">
      <c r="A201" s="5">
        <f>IF(B201="","","MOUT-"&amp;TEXT(ROW()-1,"0000"))</f>
        <v/>
      </c>
      <c r="M201" s="5">
        <f>IF(B201="","",NOW())</f>
        <v/>
      </c>
    </row>
    <row r="202">
      <c r="A202" s="5">
        <f>IF(B202="","","MOUT-"&amp;TEXT(ROW()-1,"0000"))</f>
        <v/>
      </c>
      <c r="M202" s="5">
        <f>IF(B202="","",NOW())</f>
        <v/>
      </c>
    </row>
    <row r="203">
      <c r="A203" s="5">
        <f>IF(B203="","","MOUT-"&amp;TEXT(ROW()-1,"0000"))</f>
        <v/>
      </c>
      <c r="M203" s="5">
        <f>IF(B203="","",NOW())</f>
        <v/>
      </c>
    </row>
    <row r="204">
      <c r="A204" s="5">
        <f>IF(B204="","","MOUT-"&amp;TEXT(ROW()-1,"0000"))</f>
        <v/>
      </c>
      <c r="M204" s="5">
        <f>IF(B204="","",NOW())</f>
        <v/>
      </c>
    </row>
    <row r="205">
      <c r="A205" s="5">
        <f>IF(B205="","","MOUT-"&amp;TEXT(ROW()-1,"0000"))</f>
        <v/>
      </c>
      <c r="M205" s="5">
        <f>IF(B205="","",NOW())</f>
        <v/>
      </c>
    </row>
    <row r="206">
      <c r="A206" s="5">
        <f>IF(B206="","","MOUT-"&amp;TEXT(ROW()-1,"0000"))</f>
        <v/>
      </c>
      <c r="M206" s="5">
        <f>IF(B206="","",NOW())</f>
        <v/>
      </c>
    </row>
    <row r="207">
      <c r="A207" s="5">
        <f>IF(B207="","","MOUT-"&amp;TEXT(ROW()-1,"0000"))</f>
        <v/>
      </c>
      <c r="M207" s="5">
        <f>IF(B207="","",NOW())</f>
        <v/>
      </c>
    </row>
    <row r="208">
      <c r="A208" s="5">
        <f>IF(B208="","","MOUT-"&amp;TEXT(ROW()-1,"0000"))</f>
        <v/>
      </c>
      <c r="M208" s="5">
        <f>IF(B208="","",NOW())</f>
        <v/>
      </c>
    </row>
    <row r="209">
      <c r="A209" s="5">
        <f>IF(B209="","","MOUT-"&amp;TEXT(ROW()-1,"0000"))</f>
        <v/>
      </c>
      <c r="M209" s="5">
        <f>IF(B209="","",NOW())</f>
        <v/>
      </c>
    </row>
    <row r="210">
      <c r="A210" s="5">
        <f>IF(B210="","","MOUT-"&amp;TEXT(ROW()-1,"0000"))</f>
        <v/>
      </c>
      <c r="M210" s="5">
        <f>IF(B210="","",NOW())</f>
        <v/>
      </c>
    </row>
    <row r="211">
      <c r="A211" s="5">
        <f>IF(B211="","","MOUT-"&amp;TEXT(ROW()-1,"0000"))</f>
        <v/>
      </c>
      <c r="M211" s="5">
        <f>IF(B211="","",NOW())</f>
        <v/>
      </c>
    </row>
    <row r="212">
      <c r="A212" s="5">
        <f>IF(B212="","","MOUT-"&amp;TEXT(ROW()-1,"0000"))</f>
        <v/>
      </c>
      <c r="M212" s="5">
        <f>IF(B212="","",NOW())</f>
        <v/>
      </c>
    </row>
    <row r="213">
      <c r="A213" s="5">
        <f>IF(B213="","","MOUT-"&amp;TEXT(ROW()-1,"0000"))</f>
        <v/>
      </c>
      <c r="M213" s="5">
        <f>IF(B213="","",NOW())</f>
        <v/>
      </c>
    </row>
    <row r="214">
      <c r="A214" s="5">
        <f>IF(B214="","","MOUT-"&amp;TEXT(ROW()-1,"0000"))</f>
        <v/>
      </c>
      <c r="M214" s="5">
        <f>IF(B214="","",NOW())</f>
        <v/>
      </c>
    </row>
    <row r="215">
      <c r="A215" s="5">
        <f>IF(B215="","","MOUT-"&amp;TEXT(ROW()-1,"0000"))</f>
        <v/>
      </c>
      <c r="M215" s="5">
        <f>IF(B215="","",NOW())</f>
        <v/>
      </c>
    </row>
    <row r="216">
      <c r="A216" s="5">
        <f>IF(B216="","","MOUT-"&amp;TEXT(ROW()-1,"0000"))</f>
        <v/>
      </c>
      <c r="M216" s="5">
        <f>IF(B216="","",NOW())</f>
        <v/>
      </c>
    </row>
    <row r="217">
      <c r="A217" s="5">
        <f>IF(B217="","","MOUT-"&amp;TEXT(ROW()-1,"0000"))</f>
        <v/>
      </c>
      <c r="M217" s="5">
        <f>IF(B217="","",NOW())</f>
        <v/>
      </c>
    </row>
    <row r="218">
      <c r="A218" s="5">
        <f>IF(B218="","","MOUT-"&amp;TEXT(ROW()-1,"0000"))</f>
        <v/>
      </c>
      <c r="M218" s="5">
        <f>IF(B218="","",NOW())</f>
        <v/>
      </c>
    </row>
    <row r="219">
      <c r="A219" s="5">
        <f>IF(B219="","","MOUT-"&amp;TEXT(ROW()-1,"0000"))</f>
        <v/>
      </c>
      <c r="M219" s="5">
        <f>IF(B219="","",NOW())</f>
        <v/>
      </c>
    </row>
    <row r="220">
      <c r="A220" s="5">
        <f>IF(B220="","","MOUT-"&amp;TEXT(ROW()-1,"0000"))</f>
        <v/>
      </c>
      <c r="M220" s="5">
        <f>IF(B220="","",NOW())</f>
        <v/>
      </c>
    </row>
    <row r="221">
      <c r="A221" s="5">
        <f>IF(B221="","","MOUT-"&amp;TEXT(ROW()-1,"0000"))</f>
        <v/>
      </c>
      <c r="M221" s="5">
        <f>IF(B221="","",NOW())</f>
        <v/>
      </c>
    </row>
    <row r="222">
      <c r="A222" s="5">
        <f>IF(B222="","","MOUT-"&amp;TEXT(ROW()-1,"0000"))</f>
        <v/>
      </c>
      <c r="M222" s="5">
        <f>IF(B222="","",NOW())</f>
        <v/>
      </c>
    </row>
    <row r="223">
      <c r="A223" s="5">
        <f>IF(B223="","","MOUT-"&amp;TEXT(ROW()-1,"0000"))</f>
        <v/>
      </c>
      <c r="M223" s="5">
        <f>IF(B223="","",NOW())</f>
        <v/>
      </c>
    </row>
    <row r="224">
      <c r="A224" s="5">
        <f>IF(B224="","","MOUT-"&amp;TEXT(ROW()-1,"0000"))</f>
        <v/>
      </c>
      <c r="M224" s="5">
        <f>IF(B224="","",NOW())</f>
        <v/>
      </c>
    </row>
    <row r="225">
      <c r="A225" s="5">
        <f>IF(B225="","","MOUT-"&amp;TEXT(ROW()-1,"0000"))</f>
        <v/>
      </c>
      <c r="M225" s="5">
        <f>IF(B225="","",NOW())</f>
        <v/>
      </c>
    </row>
    <row r="226">
      <c r="A226" s="5">
        <f>IF(B226="","","MOUT-"&amp;TEXT(ROW()-1,"0000"))</f>
        <v/>
      </c>
      <c r="M226" s="5">
        <f>IF(B226="","",NOW())</f>
        <v/>
      </c>
    </row>
    <row r="227">
      <c r="A227" s="5">
        <f>IF(B227="","","MOUT-"&amp;TEXT(ROW()-1,"0000"))</f>
        <v/>
      </c>
      <c r="M227" s="5">
        <f>IF(B227="","",NOW())</f>
        <v/>
      </c>
    </row>
    <row r="228">
      <c r="A228" s="5">
        <f>IF(B228="","","MOUT-"&amp;TEXT(ROW()-1,"0000"))</f>
        <v/>
      </c>
      <c r="M228" s="5">
        <f>IF(B228="","",NOW())</f>
        <v/>
      </c>
    </row>
    <row r="229">
      <c r="A229" s="5">
        <f>IF(B229="","","MOUT-"&amp;TEXT(ROW()-1,"0000"))</f>
        <v/>
      </c>
      <c r="M229" s="5">
        <f>IF(B229="","",NOW())</f>
        <v/>
      </c>
    </row>
    <row r="230">
      <c r="A230" s="5">
        <f>IF(B230="","","MOUT-"&amp;TEXT(ROW()-1,"0000"))</f>
        <v/>
      </c>
      <c r="M230" s="5">
        <f>IF(B230="","",NOW())</f>
        <v/>
      </c>
    </row>
    <row r="231">
      <c r="A231" s="5">
        <f>IF(B231="","","MOUT-"&amp;TEXT(ROW()-1,"0000"))</f>
        <v/>
      </c>
      <c r="M231" s="5">
        <f>IF(B231="","",NOW())</f>
        <v/>
      </c>
    </row>
    <row r="232">
      <c r="A232" s="5">
        <f>IF(B232="","","MOUT-"&amp;TEXT(ROW()-1,"0000"))</f>
        <v/>
      </c>
      <c r="M232" s="5">
        <f>IF(B232="","",NOW())</f>
        <v/>
      </c>
    </row>
    <row r="233">
      <c r="A233" s="5">
        <f>IF(B233="","","MOUT-"&amp;TEXT(ROW()-1,"0000"))</f>
        <v/>
      </c>
      <c r="M233" s="5">
        <f>IF(B233="","",NOW())</f>
        <v/>
      </c>
    </row>
    <row r="234">
      <c r="A234" s="5">
        <f>IF(B234="","","MOUT-"&amp;TEXT(ROW()-1,"0000"))</f>
        <v/>
      </c>
      <c r="M234" s="5">
        <f>IF(B234="","",NOW())</f>
        <v/>
      </c>
    </row>
    <row r="235">
      <c r="A235" s="5">
        <f>IF(B235="","","MOUT-"&amp;TEXT(ROW()-1,"0000"))</f>
        <v/>
      </c>
      <c r="M235" s="5">
        <f>IF(B235="","",NOW())</f>
        <v/>
      </c>
    </row>
    <row r="236">
      <c r="A236" s="5">
        <f>IF(B236="","","MOUT-"&amp;TEXT(ROW()-1,"0000"))</f>
        <v/>
      </c>
      <c r="M236" s="5">
        <f>IF(B236="","",NOW())</f>
        <v/>
      </c>
    </row>
    <row r="237">
      <c r="A237" s="5">
        <f>IF(B237="","","MOUT-"&amp;TEXT(ROW()-1,"0000"))</f>
        <v/>
      </c>
      <c r="M237" s="5">
        <f>IF(B237="","",NOW())</f>
        <v/>
      </c>
    </row>
    <row r="238">
      <c r="A238" s="5">
        <f>IF(B238="","","MOUT-"&amp;TEXT(ROW()-1,"0000"))</f>
        <v/>
      </c>
      <c r="M238" s="5">
        <f>IF(B238="","",NOW())</f>
        <v/>
      </c>
    </row>
    <row r="239">
      <c r="A239" s="5">
        <f>IF(B239="","","MOUT-"&amp;TEXT(ROW()-1,"0000"))</f>
        <v/>
      </c>
      <c r="M239" s="5">
        <f>IF(B239="","",NOW())</f>
        <v/>
      </c>
    </row>
    <row r="240">
      <c r="A240" s="5">
        <f>IF(B240="","","MOUT-"&amp;TEXT(ROW()-1,"0000"))</f>
        <v/>
      </c>
      <c r="M240" s="5">
        <f>IF(B240="","",NOW())</f>
        <v/>
      </c>
    </row>
    <row r="241">
      <c r="A241" s="5">
        <f>IF(B241="","","MOUT-"&amp;TEXT(ROW()-1,"0000"))</f>
        <v/>
      </c>
      <c r="M241" s="5">
        <f>IF(B241="","",NOW())</f>
        <v/>
      </c>
    </row>
    <row r="242">
      <c r="A242" s="5">
        <f>IF(B242="","","MOUT-"&amp;TEXT(ROW()-1,"0000"))</f>
        <v/>
      </c>
      <c r="M242" s="5">
        <f>IF(B242="","",NOW())</f>
        <v/>
      </c>
    </row>
    <row r="243">
      <c r="A243" s="5">
        <f>IF(B243="","","MOUT-"&amp;TEXT(ROW()-1,"0000"))</f>
        <v/>
      </c>
      <c r="M243" s="5">
        <f>IF(B243="","",NOW())</f>
        <v/>
      </c>
    </row>
    <row r="244">
      <c r="A244" s="5">
        <f>IF(B244="","","MOUT-"&amp;TEXT(ROW()-1,"0000"))</f>
        <v/>
      </c>
      <c r="M244" s="5">
        <f>IF(B244="","",NOW())</f>
        <v/>
      </c>
    </row>
    <row r="245">
      <c r="A245" s="5">
        <f>IF(B245="","","MOUT-"&amp;TEXT(ROW()-1,"0000"))</f>
        <v/>
      </c>
      <c r="M245" s="5">
        <f>IF(B245="","",NOW())</f>
        <v/>
      </c>
    </row>
    <row r="246">
      <c r="A246" s="5">
        <f>IF(B246="","","MOUT-"&amp;TEXT(ROW()-1,"0000"))</f>
        <v/>
      </c>
      <c r="M246" s="5">
        <f>IF(B246="","",NOW())</f>
        <v/>
      </c>
    </row>
    <row r="247">
      <c r="A247" s="5">
        <f>IF(B247="","","MOUT-"&amp;TEXT(ROW()-1,"0000"))</f>
        <v/>
      </c>
      <c r="M247" s="5">
        <f>IF(B247="","",NOW())</f>
        <v/>
      </c>
    </row>
    <row r="248">
      <c r="A248" s="5">
        <f>IF(B248="","","MOUT-"&amp;TEXT(ROW()-1,"0000"))</f>
        <v/>
      </c>
      <c r="M248" s="5">
        <f>IF(B248="","",NOW())</f>
        <v/>
      </c>
    </row>
    <row r="249">
      <c r="A249" s="5">
        <f>IF(B249="","","MOUT-"&amp;TEXT(ROW()-1,"0000"))</f>
        <v/>
      </c>
      <c r="M249" s="5">
        <f>IF(B249="","",NOW())</f>
        <v/>
      </c>
    </row>
    <row r="250">
      <c r="A250" s="5">
        <f>IF(B250="","","MOUT-"&amp;TEXT(ROW()-1,"0000"))</f>
        <v/>
      </c>
      <c r="M250" s="5">
        <f>IF(B250="","",NOW())</f>
        <v/>
      </c>
    </row>
    <row r="251">
      <c r="A251" s="5">
        <f>IF(B251="","","MOUT-"&amp;TEXT(ROW()-1,"0000"))</f>
        <v/>
      </c>
      <c r="M251" s="5">
        <f>IF(B251="","",NOW())</f>
        <v/>
      </c>
    </row>
    <row r="252">
      <c r="A252" s="5">
        <f>IF(B252="","","MOUT-"&amp;TEXT(ROW()-1,"0000"))</f>
        <v/>
      </c>
      <c r="M252" s="5">
        <f>IF(B252="","",NOW())</f>
        <v/>
      </c>
    </row>
    <row r="253">
      <c r="A253" s="5">
        <f>IF(B253="","","MOUT-"&amp;TEXT(ROW()-1,"0000"))</f>
        <v/>
      </c>
      <c r="M253" s="5">
        <f>IF(B253="","",NOW())</f>
        <v/>
      </c>
    </row>
    <row r="254">
      <c r="A254" s="5">
        <f>IF(B254="","","MOUT-"&amp;TEXT(ROW()-1,"0000"))</f>
        <v/>
      </c>
      <c r="M254" s="5">
        <f>IF(B254="","",NOW())</f>
        <v/>
      </c>
    </row>
    <row r="255">
      <c r="A255" s="5">
        <f>IF(B255="","","MOUT-"&amp;TEXT(ROW()-1,"0000"))</f>
        <v/>
      </c>
      <c r="M255" s="5">
        <f>IF(B255="","",NOW())</f>
        <v/>
      </c>
    </row>
    <row r="256">
      <c r="A256" s="5">
        <f>IF(B256="","","MOUT-"&amp;TEXT(ROW()-1,"0000"))</f>
        <v/>
      </c>
      <c r="M256" s="5">
        <f>IF(B256="","",NOW())</f>
        <v/>
      </c>
    </row>
    <row r="257">
      <c r="A257" s="5">
        <f>IF(B257="","","MOUT-"&amp;TEXT(ROW()-1,"0000"))</f>
        <v/>
      </c>
      <c r="M257" s="5">
        <f>IF(B257="","",NOW())</f>
        <v/>
      </c>
    </row>
    <row r="258">
      <c r="A258" s="5">
        <f>IF(B258="","","MOUT-"&amp;TEXT(ROW()-1,"0000"))</f>
        <v/>
      </c>
      <c r="M258" s="5">
        <f>IF(B258="","",NOW())</f>
        <v/>
      </c>
    </row>
    <row r="259">
      <c r="A259" s="5">
        <f>IF(B259="","","MOUT-"&amp;TEXT(ROW()-1,"0000"))</f>
        <v/>
      </c>
      <c r="M259" s="5">
        <f>IF(B259="","",NOW())</f>
        <v/>
      </c>
    </row>
    <row r="260">
      <c r="A260" s="5">
        <f>IF(B260="","","MOUT-"&amp;TEXT(ROW()-1,"0000"))</f>
        <v/>
      </c>
      <c r="M260" s="5">
        <f>IF(B260="","",NOW())</f>
        <v/>
      </c>
    </row>
    <row r="261">
      <c r="A261" s="5">
        <f>IF(B261="","","MOUT-"&amp;TEXT(ROW()-1,"0000"))</f>
        <v/>
      </c>
      <c r="M261" s="5">
        <f>IF(B261="","",NOW())</f>
        <v/>
      </c>
    </row>
    <row r="262">
      <c r="A262" s="5">
        <f>IF(B262="","","MOUT-"&amp;TEXT(ROW()-1,"0000"))</f>
        <v/>
      </c>
      <c r="M262" s="5">
        <f>IF(B262="","",NOW())</f>
        <v/>
      </c>
    </row>
    <row r="263">
      <c r="A263" s="5">
        <f>IF(B263="","","MOUT-"&amp;TEXT(ROW()-1,"0000"))</f>
        <v/>
      </c>
      <c r="M263" s="5">
        <f>IF(B263="","",NOW())</f>
        <v/>
      </c>
    </row>
    <row r="264">
      <c r="A264" s="5">
        <f>IF(B264="","","MOUT-"&amp;TEXT(ROW()-1,"0000"))</f>
        <v/>
      </c>
      <c r="M264" s="5">
        <f>IF(B264="","",NOW())</f>
        <v/>
      </c>
    </row>
    <row r="265">
      <c r="A265" s="5">
        <f>IF(B265="","","MOUT-"&amp;TEXT(ROW()-1,"0000"))</f>
        <v/>
      </c>
      <c r="M265" s="5">
        <f>IF(B265="","",NOW())</f>
        <v/>
      </c>
    </row>
    <row r="266">
      <c r="A266" s="5">
        <f>IF(B266="","","MOUT-"&amp;TEXT(ROW()-1,"0000"))</f>
        <v/>
      </c>
      <c r="M266" s="5">
        <f>IF(B266="","",NOW())</f>
        <v/>
      </c>
    </row>
    <row r="267">
      <c r="A267" s="5">
        <f>IF(B267="","","MOUT-"&amp;TEXT(ROW()-1,"0000"))</f>
        <v/>
      </c>
      <c r="M267" s="5">
        <f>IF(B267="","",NOW())</f>
        <v/>
      </c>
    </row>
    <row r="268">
      <c r="A268" s="5">
        <f>IF(B268="","","MOUT-"&amp;TEXT(ROW()-1,"0000"))</f>
        <v/>
      </c>
      <c r="M268" s="5">
        <f>IF(B268="","",NOW())</f>
        <v/>
      </c>
    </row>
    <row r="269">
      <c r="A269" s="5">
        <f>IF(B269="","","MOUT-"&amp;TEXT(ROW()-1,"0000"))</f>
        <v/>
      </c>
      <c r="M269" s="5">
        <f>IF(B269="","",NOW())</f>
        <v/>
      </c>
    </row>
    <row r="270">
      <c r="A270" s="5">
        <f>IF(B270="","","MOUT-"&amp;TEXT(ROW()-1,"0000"))</f>
        <v/>
      </c>
      <c r="M270" s="5">
        <f>IF(B270="","",NOW())</f>
        <v/>
      </c>
    </row>
    <row r="271">
      <c r="A271" s="5">
        <f>IF(B271="","","MOUT-"&amp;TEXT(ROW()-1,"0000"))</f>
        <v/>
      </c>
      <c r="M271" s="5">
        <f>IF(B271="","",NOW())</f>
        <v/>
      </c>
    </row>
    <row r="272">
      <c r="A272" s="5">
        <f>IF(B272="","","MOUT-"&amp;TEXT(ROW()-1,"0000"))</f>
        <v/>
      </c>
      <c r="M272" s="5">
        <f>IF(B272="","",NOW())</f>
        <v/>
      </c>
    </row>
    <row r="273">
      <c r="A273" s="5">
        <f>IF(B273="","","MOUT-"&amp;TEXT(ROW()-1,"0000"))</f>
        <v/>
      </c>
      <c r="M273" s="5">
        <f>IF(B273="","",NOW())</f>
        <v/>
      </c>
    </row>
    <row r="274">
      <c r="A274" s="5">
        <f>IF(B274="","","MOUT-"&amp;TEXT(ROW()-1,"0000"))</f>
        <v/>
      </c>
      <c r="M274" s="5">
        <f>IF(B274="","",NOW())</f>
        <v/>
      </c>
    </row>
    <row r="275">
      <c r="A275" s="5">
        <f>IF(B275="","","MOUT-"&amp;TEXT(ROW()-1,"0000"))</f>
        <v/>
      </c>
      <c r="M275" s="5">
        <f>IF(B275="","",NOW())</f>
        <v/>
      </c>
    </row>
    <row r="276">
      <c r="A276" s="5">
        <f>IF(B276="","","MOUT-"&amp;TEXT(ROW()-1,"0000"))</f>
        <v/>
      </c>
      <c r="M276" s="5">
        <f>IF(B276="","",NOW())</f>
        <v/>
      </c>
    </row>
    <row r="277">
      <c r="A277" s="5">
        <f>IF(B277="","","MOUT-"&amp;TEXT(ROW()-1,"0000"))</f>
        <v/>
      </c>
      <c r="M277" s="5">
        <f>IF(B277="","",NOW())</f>
        <v/>
      </c>
    </row>
    <row r="278">
      <c r="A278" s="5">
        <f>IF(B278="","","MOUT-"&amp;TEXT(ROW()-1,"0000"))</f>
        <v/>
      </c>
      <c r="M278" s="5">
        <f>IF(B278="","",NOW())</f>
        <v/>
      </c>
    </row>
    <row r="279">
      <c r="A279" s="5">
        <f>IF(B279="","","MOUT-"&amp;TEXT(ROW()-1,"0000"))</f>
        <v/>
      </c>
      <c r="M279" s="5">
        <f>IF(B279="","",NOW())</f>
        <v/>
      </c>
    </row>
    <row r="280">
      <c r="A280" s="5">
        <f>IF(B280="","","MOUT-"&amp;TEXT(ROW()-1,"0000"))</f>
        <v/>
      </c>
      <c r="M280" s="5">
        <f>IF(B280="","",NOW())</f>
        <v/>
      </c>
    </row>
    <row r="281">
      <c r="A281" s="5">
        <f>IF(B281="","","MOUT-"&amp;TEXT(ROW()-1,"0000"))</f>
        <v/>
      </c>
      <c r="M281" s="5">
        <f>IF(B281="","",NOW())</f>
        <v/>
      </c>
    </row>
    <row r="282">
      <c r="A282" s="5">
        <f>IF(B282="","","MOUT-"&amp;TEXT(ROW()-1,"0000"))</f>
        <v/>
      </c>
      <c r="M282" s="5">
        <f>IF(B282="","",NOW())</f>
        <v/>
      </c>
    </row>
    <row r="283">
      <c r="A283" s="5">
        <f>IF(B283="","","MOUT-"&amp;TEXT(ROW()-1,"0000"))</f>
        <v/>
      </c>
      <c r="M283" s="5">
        <f>IF(B283="","",NOW())</f>
        <v/>
      </c>
    </row>
    <row r="284">
      <c r="A284" s="5">
        <f>IF(B284="","","MOUT-"&amp;TEXT(ROW()-1,"0000"))</f>
        <v/>
      </c>
      <c r="M284" s="5">
        <f>IF(B284="","",NOW())</f>
        <v/>
      </c>
    </row>
    <row r="285">
      <c r="A285" s="5">
        <f>IF(B285="","","MOUT-"&amp;TEXT(ROW()-1,"0000"))</f>
        <v/>
      </c>
      <c r="M285" s="5">
        <f>IF(B285="","",NOW())</f>
        <v/>
      </c>
    </row>
    <row r="286">
      <c r="A286" s="5">
        <f>IF(B286="","","MOUT-"&amp;TEXT(ROW()-1,"0000"))</f>
        <v/>
      </c>
      <c r="M286" s="5">
        <f>IF(B286="","",NOW())</f>
        <v/>
      </c>
    </row>
    <row r="287">
      <c r="A287" s="5">
        <f>IF(B287="","","MOUT-"&amp;TEXT(ROW()-1,"0000"))</f>
        <v/>
      </c>
      <c r="M287" s="5">
        <f>IF(B287="","",NOW())</f>
        <v/>
      </c>
    </row>
    <row r="288">
      <c r="A288" s="5">
        <f>IF(B288="","","MOUT-"&amp;TEXT(ROW()-1,"0000"))</f>
        <v/>
      </c>
      <c r="M288" s="5">
        <f>IF(B288="","",NOW())</f>
        <v/>
      </c>
    </row>
    <row r="289">
      <c r="A289" s="5">
        <f>IF(B289="","","MOUT-"&amp;TEXT(ROW()-1,"0000"))</f>
        <v/>
      </c>
      <c r="M289" s="5">
        <f>IF(B289="","",NOW())</f>
        <v/>
      </c>
    </row>
    <row r="290">
      <c r="A290" s="5">
        <f>IF(B290="","","MOUT-"&amp;TEXT(ROW()-1,"0000"))</f>
        <v/>
      </c>
      <c r="M290" s="5">
        <f>IF(B290="","",NOW())</f>
        <v/>
      </c>
    </row>
    <row r="291">
      <c r="A291" s="5">
        <f>IF(B291="","","MOUT-"&amp;TEXT(ROW()-1,"0000"))</f>
        <v/>
      </c>
      <c r="M291" s="5">
        <f>IF(B291="","",NOW())</f>
        <v/>
      </c>
    </row>
    <row r="292">
      <c r="A292" s="5">
        <f>IF(B292="","","MOUT-"&amp;TEXT(ROW()-1,"0000"))</f>
        <v/>
      </c>
      <c r="M292" s="5">
        <f>IF(B292="","",NOW())</f>
        <v/>
      </c>
    </row>
    <row r="293">
      <c r="A293" s="5">
        <f>IF(B293="","","MOUT-"&amp;TEXT(ROW()-1,"0000"))</f>
        <v/>
      </c>
      <c r="M293" s="5">
        <f>IF(B293="","",NOW())</f>
        <v/>
      </c>
    </row>
    <row r="294">
      <c r="A294" s="5">
        <f>IF(B294="","","MOUT-"&amp;TEXT(ROW()-1,"0000"))</f>
        <v/>
      </c>
      <c r="M294" s="5">
        <f>IF(B294="","",NOW())</f>
        <v/>
      </c>
    </row>
    <row r="295">
      <c r="A295" s="5">
        <f>IF(B295="","","MOUT-"&amp;TEXT(ROW()-1,"0000"))</f>
        <v/>
      </c>
      <c r="M295" s="5">
        <f>IF(B295="","",NOW())</f>
        <v/>
      </c>
    </row>
    <row r="296">
      <c r="A296" s="5">
        <f>IF(B296="","","MOUT-"&amp;TEXT(ROW()-1,"0000"))</f>
        <v/>
      </c>
      <c r="M296" s="5">
        <f>IF(B296="","",NOW())</f>
        <v/>
      </c>
    </row>
    <row r="297">
      <c r="A297" s="5">
        <f>IF(B297="","","MOUT-"&amp;TEXT(ROW()-1,"0000"))</f>
        <v/>
      </c>
      <c r="M297" s="5">
        <f>IF(B297="","",NOW())</f>
        <v/>
      </c>
    </row>
    <row r="298">
      <c r="A298" s="5">
        <f>IF(B298="","","MOUT-"&amp;TEXT(ROW()-1,"0000"))</f>
        <v/>
      </c>
      <c r="M298" s="5">
        <f>IF(B298="","",NOW())</f>
        <v/>
      </c>
    </row>
    <row r="299">
      <c r="A299" s="5">
        <f>IF(B299="","","MOUT-"&amp;TEXT(ROW()-1,"0000"))</f>
        <v/>
      </c>
      <c r="M299" s="5">
        <f>IF(B299="","",NOW())</f>
        <v/>
      </c>
    </row>
    <row r="300">
      <c r="A300" s="5">
        <f>IF(B300="","","MOUT-"&amp;TEXT(ROW()-1,"0000"))</f>
        <v/>
      </c>
      <c r="M300" s="5">
        <f>IF(B300="","",NOW())</f>
        <v/>
      </c>
    </row>
    <row r="301">
      <c r="A301" s="5">
        <f>IF(B301="","","MOUT-"&amp;TEXT(ROW()-1,"0000"))</f>
        <v/>
      </c>
      <c r="M301" s="5">
        <f>IF(B301="","",NOW())</f>
        <v/>
      </c>
    </row>
    <row r="302">
      <c r="A302" s="5">
        <f>IF(B302="","","MOUT-"&amp;TEXT(ROW()-1,"0000"))</f>
        <v/>
      </c>
      <c r="M302" s="5">
        <f>IF(B302="","",NOW())</f>
        <v/>
      </c>
    </row>
    <row r="303">
      <c r="A303" s="5">
        <f>IF(B303="","","MOUT-"&amp;TEXT(ROW()-1,"0000"))</f>
        <v/>
      </c>
      <c r="M303" s="5">
        <f>IF(B303="","",NOW())</f>
        <v/>
      </c>
    </row>
    <row r="304">
      <c r="A304" s="5">
        <f>IF(B304="","","MOUT-"&amp;TEXT(ROW()-1,"0000"))</f>
        <v/>
      </c>
      <c r="M304" s="5">
        <f>IF(B304="","",NOW())</f>
        <v/>
      </c>
    </row>
    <row r="305">
      <c r="A305" s="5">
        <f>IF(B305="","","MOUT-"&amp;TEXT(ROW()-1,"0000"))</f>
        <v/>
      </c>
      <c r="M305" s="5">
        <f>IF(B305="","",NOW())</f>
        <v/>
      </c>
    </row>
    <row r="306">
      <c r="A306" s="5">
        <f>IF(B306="","","MOUT-"&amp;TEXT(ROW()-1,"0000"))</f>
        <v/>
      </c>
      <c r="M306" s="5">
        <f>IF(B306="","",NOW())</f>
        <v/>
      </c>
    </row>
    <row r="307">
      <c r="A307" s="5">
        <f>IF(B307="","","MOUT-"&amp;TEXT(ROW()-1,"0000"))</f>
        <v/>
      </c>
      <c r="M307" s="5">
        <f>IF(B307="","",NOW())</f>
        <v/>
      </c>
    </row>
    <row r="308">
      <c r="A308" s="5">
        <f>IF(B308="","","MOUT-"&amp;TEXT(ROW()-1,"0000"))</f>
        <v/>
      </c>
      <c r="M308" s="5">
        <f>IF(B308="","",NOW())</f>
        <v/>
      </c>
    </row>
    <row r="309">
      <c r="A309" s="5">
        <f>IF(B309="","","MOUT-"&amp;TEXT(ROW()-1,"0000"))</f>
        <v/>
      </c>
      <c r="M309" s="5">
        <f>IF(B309="","",NOW())</f>
        <v/>
      </c>
    </row>
    <row r="310">
      <c r="A310" s="5">
        <f>IF(B310="","","MOUT-"&amp;TEXT(ROW()-1,"0000"))</f>
        <v/>
      </c>
      <c r="M310" s="5">
        <f>IF(B310="","",NOW())</f>
        <v/>
      </c>
    </row>
    <row r="311">
      <c r="A311" s="5">
        <f>IF(B311="","","MOUT-"&amp;TEXT(ROW()-1,"0000"))</f>
        <v/>
      </c>
      <c r="M311" s="5">
        <f>IF(B311="","",NOW())</f>
        <v/>
      </c>
    </row>
    <row r="312">
      <c r="A312" s="5">
        <f>IF(B312="","","MOUT-"&amp;TEXT(ROW()-1,"0000"))</f>
        <v/>
      </c>
      <c r="M312" s="5">
        <f>IF(B312="","",NOW())</f>
        <v/>
      </c>
    </row>
    <row r="313">
      <c r="A313" s="5">
        <f>IF(B313="","","MOUT-"&amp;TEXT(ROW()-1,"0000"))</f>
        <v/>
      </c>
      <c r="M313" s="5">
        <f>IF(B313="","",NOW())</f>
        <v/>
      </c>
    </row>
    <row r="314">
      <c r="A314" s="5">
        <f>IF(B314="","","MOUT-"&amp;TEXT(ROW()-1,"0000"))</f>
        <v/>
      </c>
      <c r="M314" s="5">
        <f>IF(B314="","",NOW())</f>
        <v/>
      </c>
    </row>
    <row r="315">
      <c r="A315" s="5">
        <f>IF(B315="","","MOUT-"&amp;TEXT(ROW()-1,"0000"))</f>
        <v/>
      </c>
      <c r="M315" s="5">
        <f>IF(B315="","",NOW())</f>
        <v/>
      </c>
    </row>
    <row r="316">
      <c r="A316" s="5">
        <f>IF(B316="","","MOUT-"&amp;TEXT(ROW()-1,"0000"))</f>
        <v/>
      </c>
      <c r="M316" s="5">
        <f>IF(B316="","",NOW())</f>
        <v/>
      </c>
    </row>
    <row r="317">
      <c r="A317" s="5">
        <f>IF(B317="","","MOUT-"&amp;TEXT(ROW()-1,"0000"))</f>
        <v/>
      </c>
      <c r="M317" s="5">
        <f>IF(B317="","",NOW())</f>
        <v/>
      </c>
    </row>
    <row r="318">
      <c r="A318" s="5">
        <f>IF(B318="","","MOUT-"&amp;TEXT(ROW()-1,"0000"))</f>
        <v/>
      </c>
      <c r="M318" s="5">
        <f>IF(B318="","",NOW())</f>
        <v/>
      </c>
    </row>
    <row r="319">
      <c r="A319" s="5">
        <f>IF(B319="","","MOUT-"&amp;TEXT(ROW()-1,"0000"))</f>
        <v/>
      </c>
      <c r="M319" s="5">
        <f>IF(B319="","",NOW())</f>
        <v/>
      </c>
    </row>
    <row r="320">
      <c r="A320" s="5">
        <f>IF(B320="","","MOUT-"&amp;TEXT(ROW()-1,"0000"))</f>
        <v/>
      </c>
      <c r="M320" s="5">
        <f>IF(B320="","",NOW())</f>
        <v/>
      </c>
    </row>
    <row r="321">
      <c r="A321" s="5">
        <f>IF(B321="","","MOUT-"&amp;TEXT(ROW()-1,"0000"))</f>
        <v/>
      </c>
      <c r="M321" s="5">
        <f>IF(B321="","",NOW())</f>
        <v/>
      </c>
    </row>
    <row r="322">
      <c r="A322" s="5">
        <f>IF(B322="","","MOUT-"&amp;TEXT(ROW()-1,"0000"))</f>
        <v/>
      </c>
      <c r="M322" s="5">
        <f>IF(B322="","",NOW())</f>
        <v/>
      </c>
    </row>
    <row r="323">
      <c r="A323" s="5">
        <f>IF(B323="","","MOUT-"&amp;TEXT(ROW()-1,"0000"))</f>
        <v/>
      </c>
      <c r="M323" s="5">
        <f>IF(B323="","",NOW())</f>
        <v/>
      </c>
    </row>
    <row r="324">
      <c r="A324" s="5">
        <f>IF(B324="","","MOUT-"&amp;TEXT(ROW()-1,"0000"))</f>
        <v/>
      </c>
      <c r="M324" s="5">
        <f>IF(B324="","",NOW())</f>
        <v/>
      </c>
    </row>
    <row r="325">
      <c r="A325" s="5">
        <f>IF(B325="","","MOUT-"&amp;TEXT(ROW()-1,"0000"))</f>
        <v/>
      </c>
      <c r="M325" s="5">
        <f>IF(B325="","",NOW())</f>
        <v/>
      </c>
    </row>
    <row r="326">
      <c r="A326" s="5">
        <f>IF(B326="","","MOUT-"&amp;TEXT(ROW()-1,"0000"))</f>
        <v/>
      </c>
      <c r="M326" s="5">
        <f>IF(B326="","",NOW())</f>
        <v/>
      </c>
    </row>
    <row r="327">
      <c r="A327" s="5">
        <f>IF(B327="","","MOUT-"&amp;TEXT(ROW()-1,"0000"))</f>
        <v/>
      </c>
      <c r="M327" s="5">
        <f>IF(B327="","",NOW())</f>
        <v/>
      </c>
    </row>
    <row r="328">
      <c r="A328" s="5">
        <f>IF(B328="","","MOUT-"&amp;TEXT(ROW()-1,"0000"))</f>
        <v/>
      </c>
      <c r="M328" s="5">
        <f>IF(B328="","",NOW())</f>
        <v/>
      </c>
    </row>
    <row r="329">
      <c r="A329" s="5">
        <f>IF(B329="","","MOUT-"&amp;TEXT(ROW()-1,"0000"))</f>
        <v/>
      </c>
      <c r="M329" s="5">
        <f>IF(B329="","",NOW())</f>
        <v/>
      </c>
    </row>
    <row r="330">
      <c r="A330" s="5">
        <f>IF(B330="","","MOUT-"&amp;TEXT(ROW()-1,"0000"))</f>
        <v/>
      </c>
      <c r="M330" s="5">
        <f>IF(B330="","",NOW())</f>
        <v/>
      </c>
    </row>
    <row r="331">
      <c r="A331" s="5">
        <f>IF(B331="","","MOUT-"&amp;TEXT(ROW()-1,"0000"))</f>
        <v/>
      </c>
      <c r="M331" s="5">
        <f>IF(B331="","",NOW())</f>
        <v/>
      </c>
    </row>
    <row r="332">
      <c r="A332" s="5">
        <f>IF(B332="","","MOUT-"&amp;TEXT(ROW()-1,"0000"))</f>
        <v/>
      </c>
      <c r="M332" s="5">
        <f>IF(B332="","",NOW())</f>
        <v/>
      </c>
    </row>
    <row r="333">
      <c r="A333" s="5">
        <f>IF(B333="","","MOUT-"&amp;TEXT(ROW()-1,"0000"))</f>
        <v/>
      </c>
      <c r="M333" s="5">
        <f>IF(B333="","",NOW())</f>
        <v/>
      </c>
    </row>
    <row r="334">
      <c r="A334" s="5">
        <f>IF(B334="","","MOUT-"&amp;TEXT(ROW()-1,"0000"))</f>
        <v/>
      </c>
      <c r="M334" s="5">
        <f>IF(B334="","",NOW())</f>
        <v/>
      </c>
    </row>
    <row r="335">
      <c r="A335" s="5">
        <f>IF(B335="","","MOUT-"&amp;TEXT(ROW()-1,"0000"))</f>
        <v/>
      </c>
      <c r="M335" s="5">
        <f>IF(B335="","",NOW())</f>
        <v/>
      </c>
    </row>
    <row r="336">
      <c r="A336" s="5">
        <f>IF(B336="","","MOUT-"&amp;TEXT(ROW()-1,"0000"))</f>
        <v/>
      </c>
      <c r="M336" s="5">
        <f>IF(B336="","",NOW())</f>
        <v/>
      </c>
    </row>
    <row r="337">
      <c r="A337" s="5">
        <f>IF(B337="","","MOUT-"&amp;TEXT(ROW()-1,"0000"))</f>
        <v/>
      </c>
      <c r="M337" s="5">
        <f>IF(B337="","",NOW())</f>
        <v/>
      </c>
    </row>
    <row r="338">
      <c r="A338" s="5">
        <f>IF(B338="","","MOUT-"&amp;TEXT(ROW()-1,"0000"))</f>
        <v/>
      </c>
      <c r="M338" s="5">
        <f>IF(B338="","",NOW())</f>
        <v/>
      </c>
    </row>
    <row r="339">
      <c r="A339" s="5">
        <f>IF(B339="","","MOUT-"&amp;TEXT(ROW()-1,"0000"))</f>
        <v/>
      </c>
      <c r="M339" s="5">
        <f>IF(B339="","",NOW())</f>
        <v/>
      </c>
    </row>
    <row r="340">
      <c r="A340" s="5">
        <f>IF(B340="","","MOUT-"&amp;TEXT(ROW()-1,"0000"))</f>
        <v/>
      </c>
      <c r="M340" s="5">
        <f>IF(B340="","",NOW())</f>
        <v/>
      </c>
    </row>
    <row r="341">
      <c r="A341" s="5">
        <f>IF(B341="","","MOUT-"&amp;TEXT(ROW()-1,"0000"))</f>
        <v/>
      </c>
      <c r="M341" s="5">
        <f>IF(B341="","",NOW())</f>
        <v/>
      </c>
    </row>
    <row r="342">
      <c r="A342" s="5">
        <f>IF(B342="","","MOUT-"&amp;TEXT(ROW()-1,"0000"))</f>
        <v/>
      </c>
      <c r="M342" s="5">
        <f>IF(B342="","",NOW())</f>
        <v/>
      </c>
    </row>
    <row r="343">
      <c r="A343" s="5">
        <f>IF(B343="","","MOUT-"&amp;TEXT(ROW()-1,"0000"))</f>
        <v/>
      </c>
      <c r="M343" s="5">
        <f>IF(B343="","",NOW())</f>
        <v/>
      </c>
    </row>
    <row r="344">
      <c r="A344" s="5">
        <f>IF(B344="","","MOUT-"&amp;TEXT(ROW()-1,"0000"))</f>
        <v/>
      </c>
      <c r="M344" s="5">
        <f>IF(B344="","",NOW())</f>
        <v/>
      </c>
    </row>
    <row r="345">
      <c r="A345" s="5">
        <f>IF(B345="","","MOUT-"&amp;TEXT(ROW()-1,"0000"))</f>
        <v/>
      </c>
      <c r="M345" s="5">
        <f>IF(B345="","",NOW())</f>
        <v/>
      </c>
    </row>
    <row r="346">
      <c r="A346" s="5">
        <f>IF(B346="","","MOUT-"&amp;TEXT(ROW()-1,"0000"))</f>
        <v/>
      </c>
      <c r="M346" s="5">
        <f>IF(B346="","",NOW())</f>
        <v/>
      </c>
    </row>
    <row r="347">
      <c r="A347" s="5">
        <f>IF(B347="","","MOUT-"&amp;TEXT(ROW()-1,"0000"))</f>
        <v/>
      </c>
      <c r="M347" s="5">
        <f>IF(B347="","",NOW())</f>
        <v/>
      </c>
    </row>
    <row r="348">
      <c r="A348" s="5">
        <f>IF(B348="","","MOUT-"&amp;TEXT(ROW()-1,"0000"))</f>
        <v/>
      </c>
      <c r="M348" s="5">
        <f>IF(B348="","",NOW())</f>
        <v/>
      </c>
    </row>
    <row r="349">
      <c r="A349" s="5">
        <f>IF(B349="","","MOUT-"&amp;TEXT(ROW()-1,"0000"))</f>
        <v/>
      </c>
      <c r="M349" s="5">
        <f>IF(B349="","",NOW())</f>
        <v/>
      </c>
    </row>
    <row r="350">
      <c r="A350" s="5">
        <f>IF(B350="","","MOUT-"&amp;TEXT(ROW()-1,"0000"))</f>
        <v/>
      </c>
      <c r="M350" s="5">
        <f>IF(B350="","",NOW())</f>
        <v/>
      </c>
    </row>
    <row r="351">
      <c r="A351" s="5">
        <f>IF(B351="","","MOUT-"&amp;TEXT(ROW()-1,"0000"))</f>
        <v/>
      </c>
      <c r="M351" s="5">
        <f>IF(B351="","",NOW())</f>
        <v/>
      </c>
    </row>
    <row r="352">
      <c r="A352" s="5">
        <f>IF(B352="","","MOUT-"&amp;TEXT(ROW()-1,"0000"))</f>
        <v/>
      </c>
      <c r="M352" s="5">
        <f>IF(B352="","",NOW())</f>
        <v/>
      </c>
    </row>
    <row r="353">
      <c r="A353" s="5">
        <f>IF(B353="","","MOUT-"&amp;TEXT(ROW()-1,"0000"))</f>
        <v/>
      </c>
      <c r="M353" s="5">
        <f>IF(B353="","",NOW())</f>
        <v/>
      </c>
    </row>
    <row r="354">
      <c r="A354" s="5">
        <f>IF(B354="","","MOUT-"&amp;TEXT(ROW()-1,"0000"))</f>
        <v/>
      </c>
      <c r="M354" s="5">
        <f>IF(B354="","",NOW())</f>
        <v/>
      </c>
    </row>
    <row r="355">
      <c r="A355" s="5">
        <f>IF(B355="","","MOUT-"&amp;TEXT(ROW()-1,"0000"))</f>
        <v/>
      </c>
      <c r="M355" s="5">
        <f>IF(B355="","",NOW())</f>
        <v/>
      </c>
    </row>
    <row r="356">
      <c r="A356" s="5">
        <f>IF(B356="","","MOUT-"&amp;TEXT(ROW()-1,"0000"))</f>
        <v/>
      </c>
      <c r="M356" s="5">
        <f>IF(B356="","",NOW())</f>
        <v/>
      </c>
    </row>
    <row r="357">
      <c r="A357" s="5">
        <f>IF(B357="","","MOUT-"&amp;TEXT(ROW()-1,"0000"))</f>
        <v/>
      </c>
      <c r="M357" s="5">
        <f>IF(B357="","",NOW())</f>
        <v/>
      </c>
    </row>
    <row r="358">
      <c r="A358" s="5">
        <f>IF(B358="","","MOUT-"&amp;TEXT(ROW()-1,"0000"))</f>
        <v/>
      </c>
      <c r="M358" s="5">
        <f>IF(B358="","",NOW())</f>
        <v/>
      </c>
    </row>
    <row r="359">
      <c r="A359" s="5">
        <f>IF(B359="","","MOUT-"&amp;TEXT(ROW()-1,"0000"))</f>
        <v/>
      </c>
      <c r="M359" s="5">
        <f>IF(B359="","",NOW())</f>
        <v/>
      </c>
    </row>
    <row r="360">
      <c r="A360" s="5">
        <f>IF(B360="","","MOUT-"&amp;TEXT(ROW()-1,"0000"))</f>
        <v/>
      </c>
      <c r="M360" s="5">
        <f>IF(B360="","",NOW())</f>
        <v/>
      </c>
    </row>
    <row r="361">
      <c r="A361" s="5">
        <f>IF(B361="","","MOUT-"&amp;TEXT(ROW()-1,"0000"))</f>
        <v/>
      </c>
      <c r="M361" s="5">
        <f>IF(B361="","",NOW())</f>
        <v/>
      </c>
    </row>
    <row r="362">
      <c r="A362" s="5">
        <f>IF(B362="","","MOUT-"&amp;TEXT(ROW()-1,"0000"))</f>
        <v/>
      </c>
      <c r="M362" s="5">
        <f>IF(B362="","",NOW())</f>
        <v/>
      </c>
    </row>
    <row r="363">
      <c r="A363" s="5">
        <f>IF(B363="","","MOUT-"&amp;TEXT(ROW()-1,"0000"))</f>
        <v/>
      </c>
      <c r="M363" s="5">
        <f>IF(B363="","",NOW())</f>
        <v/>
      </c>
    </row>
    <row r="364">
      <c r="A364" s="5">
        <f>IF(B364="","","MOUT-"&amp;TEXT(ROW()-1,"0000"))</f>
        <v/>
      </c>
      <c r="M364" s="5">
        <f>IF(B364="","",NOW())</f>
        <v/>
      </c>
    </row>
    <row r="365">
      <c r="A365" s="5">
        <f>IF(B365="","","MOUT-"&amp;TEXT(ROW()-1,"0000"))</f>
        <v/>
      </c>
      <c r="M365" s="5">
        <f>IF(B365="","",NOW())</f>
        <v/>
      </c>
    </row>
    <row r="366">
      <c r="A366" s="5">
        <f>IF(B366="","","MOUT-"&amp;TEXT(ROW()-1,"0000"))</f>
        <v/>
      </c>
      <c r="M366" s="5">
        <f>IF(B366="","",NOW())</f>
        <v/>
      </c>
    </row>
    <row r="367">
      <c r="A367" s="5">
        <f>IF(B367="","","MOUT-"&amp;TEXT(ROW()-1,"0000"))</f>
        <v/>
      </c>
      <c r="M367" s="5">
        <f>IF(B367="","",NOW())</f>
        <v/>
      </c>
    </row>
    <row r="368">
      <c r="A368" s="5">
        <f>IF(B368="","","MOUT-"&amp;TEXT(ROW()-1,"0000"))</f>
        <v/>
      </c>
      <c r="M368" s="5">
        <f>IF(B368="","",NOW())</f>
        <v/>
      </c>
    </row>
    <row r="369">
      <c r="A369" s="5">
        <f>IF(B369="","","MOUT-"&amp;TEXT(ROW()-1,"0000"))</f>
        <v/>
      </c>
      <c r="M369" s="5">
        <f>IF(B369="","",NOW())</f>
        <v/>
      </c>
    </row>
    <row r="370">
      <c r="A370" s="5">
        <f>IF(B370="","","MOUT-"&amp;TEXT(ROW()-1,"0000"))</f>
        <v/>
      </c>
      <c r="M370" s="5">
        <f>IF(B370="","",NOW())</f>
        <v/>
      </c>
    </row>
    <row r="371">
      <c r="A371" s="5">
        <f>IF(B371="","","MOUT-"&amp;TEXT(ROW()-1,"0000"))</f>
        <v/>
      </c>
      <c r="M371" s="5">
        <f>IF(B371="","",NOW())</f>
        <v/>
      </c>
    </row>
    <row r="372">
      <c r="A372" s="5">
        <f>IF(B372="","","MOUT-"&amp;TEXT(ROW()-1,"0000"))</f>
        <v/>
      </c>
      <c r="M372" s="5">
        <f>IF(B372="","",NOW())</f>
        <v/>
      </c>
    </row>
    <row r="373">
      <c r="A373" s="5">
        <f>IF(B373="","","MOUT-"&amp;TEXT(ROW()-1,"0000"))</f>
        <v/>
      </c>
      <c r="M373" s="5">
        <f>IF(B373="","",NOW())</f>
        <v/>
      </c>
    </row>
    <row r="374">
      <c r="A374" s="5">
        <f>IF(B374="","","MOUT-"&amp;TEXT(ROW()-1,"0000"))</f>
        <v/>
      </c>
      <c r="M374" s="5">
        <f>IF(B374="","",NOW())</f>
        <v/>
      </c>
    </row>
    <row r="375">
      <c r="A375" s="5">
        <f>IF(B375="","","MOUT-"&amp;TEXT(ROW()-1,"0000"))</f>
        <v/>
      </c>
      <c r="M375" s="5">
        <f>IF(B375="","",NOW())</f>
        <v/>
      </c>
    </row>
    <row r="376">
      <c r="A376" s="5">
        <f>IF(B376="","","MOUT-"&amp;TEXT(ROW()-1,"0000"))</f>
        <v/>
      </c>
      <c r="M376" s="5">
        <f>IF(B376="","",NOW())</f>
        <v/>
      </c>
    </row>
    <row r="377">
      <c r="A377" s="5">
        <f>IF(B377="","","MOUT-"&amp;TEXT(ROW()-1,"0000"))</f>
        <v/>
      </c>
      <c r="M377" s="5">
        <f>IF(B377="","",NOW())</f>
        <v/>
      </c>
    </row>
    <row r="378">
      <c r="A378" s="5">
        <f>IF(B378="","","MOUT-"&amp;TEXT(ROW()-1,"0000"))</f>
        <v/>
      </c>
      <c r="M378" s="5">
        <f>IF(B378="","",NOW())</f>
        <v/>
      </c>
    </row>
    <row r="379">
      <c r="A379" s="5">
        <f>IF(B379="","","MOUT-"&amp;TEXT(ROW()-1,"0000"))</f>
        <v/>
      </c>
      <c r="M379" s="5">
        <f>IF(B379="","",NOW())</f>
        <v/>
      </c>
    </row>
    <row r="380">
      <c r="A380" s="5">
        <f>IF(B380="","","MOUT-"&amp;TEXT(ROW()-1,"0000"))</f>
        <v/>
      </c>
      <c r="M380" s="5">
        <f>IF(B380="","",NOW())</f>
        <v/>
      </c>
    </row>
    <row r="381">
      <c r="A381" s="5">
        <f>IF(B381="","","MOUT-"&amp;TEXT(ROW()-1,"0000"))</f>
        <v/>
      </c>
      <c r="M381" s="5">
        <f>IF(B381="","",NOW())</f>
        <v/>
      </c>
    </row>
    <row r="382">
      <c r="A382" s="5">
        <f>IF(B382="","","MOUT-"&amp;TEXT(ROW()-1,"0000"))</f>
        <v/>
      </c>
      <c r="M382" s="5">
        <f>IF(B382="","",NOW())</f>
        <v/>
      </c>
    </row>
    <row r="383">
      <c r="A383" s="5">
        <f>IF(B383="","","MOUT-"&amp;TEXT(ROW()-1,"0000"))</f>
        <v/>
      </c>
      <c r="M383" s="5">
        <f>IF(B383="","",NOW())</f>
        <v/>
      </c>
    </row>
    <row r="384">
      <c r="A384" s="5">
        <f>IF(B384="","","MOUT-"&amp;TEXT(ROW()-1,"0000"))</f>
        <v/>
      </c>
      <c r="M384" s="5">
        <f>IF(B384="","",NOW())</f>
        <v/>
      </c>
    </row>
    <row r="385">
      <c r="A385" s="5">
        <f>IF(B385="","","MOUT-"&amp;TEXT(ROW()-1,"0000"))</f>
        <v/>
      </c>
      <c r="M385" s="5">
        <f>IF(B385="","",NOW())</f>
        <v/>
      </c>
    </row>
    <row r="386">
      <c r="A386" s="5">
        <f>IF(B386="","","MOUT-"&amp;TEXT(ROW()-1,"0000"))</f>
        <v/>
      </c>
      <c r="M386" s="5">
        <f>IF(B386="","",NOW())</f>
        <v/>
      </c>
    </row>
    <row r="387">
      <c r="A387" s="5">
        <f>IF(B387="","","MOUT-"&amp;TEXT(ROW()-1,"0000"))</f>
        <v/>
      </c>
      <c r="M387" s="5">
        <f>IF(B387="","",NOW())</f>
        <v/>
      </c>
    </row>
    <row r="388">
      <c r="A388" s="5">
        <f>IF(B388="","","MOUT-"&amp;TEXT(ROW()-1,"0000"))</f>
        <v/>
      </c>
      <c r="M388" s="5">
        <f>IF(B388="","",NOW())</f>
        <v/>
      </c>
    </row>
    <row r="389">
      <c r="A389" s="5">
        <f>IF(B389="","","MOUT-"&amp;TEXT(ROW()-1,"0000"))</f>
        <v/>
      </c>
      <c r="M389" s="5">
        <f>IF(B389="","",NOW())</f>
        <v/>
      </c>
    </row>
    <row r="390">
      <c r="A390" s="5">
        <f>IF(B390="","","MOUT-"&amp;TEXT(ROW()-1,"0000"))</f>
        <v/>
      </c>
      <c r="M390" s="5">
        <f>IF(B390="","",NOW())</f>
        <v/>
      </c>
    </row>
    <row r="391">
      <c r="A391" s="5">
        <f>IF(B391="","","MOUT-"&amp;TEXT(ROW()-1,"0000"))</f>
        <v/>
      </c>
      <c r="M391" s="5">
        <f>IF(B391="","",NOW())</f>
        <v/>
      </c>
    </row>
    <row r="392">
      <c r="A392" s="5">
        <f>IF(B392="","","MOUT-"&amp;TEXT(ROW()-1,"0000"))</f>
        <v/>
      </c>
      <c r="M392" s="5">
        <f>IF(B392="","",NOW())</f>
        <v/>
      </c>
    </row>
    <row r="393">
      <c r="A393" s="5">
        <f>IF(B393="","","MOUT-"&amp;TEXT(ROW()-1,"0000"))</f>
        <v/>
      </c>
      <c r="M393" s="5">
        <f>IF(B393="","",NOW())</f>
        <v/>
      </c>
    </row>
    <row r="394">
      <c r="A394" s="5">
        <f>IF(B394="","","MOUT-"&amp;TEXT(ROW()-1,"0000"))</f>
        <v/>
      </c>
      <c r="M394" s="5">
        <f>IF(B394="","",NOW())</f>
        <v/>
      </c>
    </row>
    <row r="395">
      <c r="A395" s="5">
        <f>IF(B395="","","MOUT-"&amp;TEXT(ROW()-1,"0000"))</f>
        <v/>
      </c>
      <c r="M395" s="5">
        <f>IF(B395="","",NOW())</f>
        <v/>
      </c>
    </row>
    <row r="396">
      <c r="A396" s="5">
        <f>IF(B396="","","MOUT-"&amp;TEXT(ROW()-1,"0000"))</f>
        <v/>
      </c>
      <c r="M396" s="5">
        <f>IF(B396="","",NOW())</f>
        <v/>
      </c>
    </row>
    <row r="397">
      <c r="A397" s="5">
        <f>IF(B397="","","MOUT-"&amp;TEXT(ROW()-1,"0000"))</f>
        <v/>
      </c>
      <c r="M397" s="5">
        <f>IF(B397="","",NOW())</f>
        <v/>
      </c>
    </row>
    <row r="398">
      <c r="A398" s="5">
        <f>IF(B398="","","MOUT-"&amp;TEXT(ROW()-1,"0000"))</f>
        <v/>
      </c>
      <c r="M398" s="5">
        <f>IF(B398="","",NOW())</f>
        <v/>
      </c>
    </row>
    <row r="399">
      <c r="A399" s="5">
        <f>IF(B399="","","MOUT-"&amp;TEXT(ROW()-1,"0000"))</f>
        <v/>
      </c>
      <c r="M399" s="5">
        <f>IF(B399="","",NOW())</f>
        <v/>
      </c>
    </row>
    <row r="400">
      <c r="A400" s="5">
        <f>IF(B400="","","MOUT-"&amp;TEXT(ROW()-1,"0000"))</f>
        <v/>
      </c>
      <c r="M400" s="5">
        <f>IF(B400="","",NOW())</f>
        <v/>
      </c>
    </row>
    <row r="401">
      <c r="A401" s="5">
        <f>IF(B401="","","MOUT-"&amp;TEXT(ROW()-1,"0000"))</f>
        <v/>
      </c>
      <c r="M401" s="5">
        <f>IF(B401="","",NOW())</f>
        <v/>
      </c>
    </row>
    <row r="402">
      <c r="A402" s="5">
        <f>IF(B402="","","MOUT-"&amp;TEXT(ROW()-1,"0000"))</f>
        <v/>
      </c>
      <c r="M402" s="5">
        <f>IF(B402="","",NOW())</f>
        <v/>
      </c>
    </row>
    <row r="403">
      <c r="A403" s="5">
        <f>IF(B403="","","MOUT-"&amp;TEXT(ROW()-1,"0000"))</f>
        <v/>
      </c>
      <c r="M403" s="5">
        <f>IF(B403="","",NOW())</f>
        <v/>
      </c>
    </row>
    <row r="404">
      <c r="A404" s="5">
        <f>IF(B404="","","MOUT-"&amp;TEXT(ROW()-1,"0000"))</f>
        <v/>
      </c>
      <c r="M404" s="5">
        <f>IF(B404="","",NOW())</f>
        <v/>
      </c>
    </row>
    <row r="405">
      <c r="A405" s="5">
        <f>IF(B405="","","MOUT-"&amp;TEXT(ROW()-1,"0000"))</f>
        <v/>
      </c>
      <c r="M405" s="5">
        <f>IF(B405="","",NOW())</f>
        <v/>
      </c>
    </row>
    <row r="406">
      <c r="A406" s="5">
        <f>IF(B406="","","MOUT-"&amp;TEXT(ROW()-1,"0000"))</f>
        <v/>
      </c>
      <c r="M406" s="5">
        <f>IF(B406="","",NOW())</f>
        <v/>
      </c>
    </row>
    <row r="407">
      <c r="A407" s="5">
        <f>IF(B407="","","MOUT-"&amp;TEXT(ROW()-1,"0000"))</f>
        <v/>
      </c>
      <c r="M407" s="5">
        <f>IF(B407="","",NOW())</f>
        <v/>
      </c>
    </row>
    <row r="408">
      <c r="A408" s="5">
        <f>IF(B408="","","MOUT-"&amp;TEXT(ROW()-1,"0000"))</f>
        <v/>
      </c>
      <c r="M408" s="5">
        <f>IF(B408="","",NOW())</f>
        <v/>
      </c>
    </row>
    <row r="409">
      <c r="A409" s="5">
        <f>IF(B409="","","MOUT-"&amp;TEXT(ROW()-1,"0000"))</f>
        <v/>
      </c>
      <c r="M409" s="5">
        <f>IF(B409="","",NOW())</f>
        <v/>
      </c>
    </row>
    <row r="410">
      <c r="A410" s="5">
        <f>IF(B410="","","MOUT-"&amp;TEXT(ROW()-1,"0000"))</f>
        <v/>
      </c>
      <c r="M410" s="5">
        <f>IF(B410="","",NOW())</f>
        <v/>
      </c>
    </row>
    <row r="411">
      <c r="A411" s="5">
        <f>IF(B411="","","MOUT-"&amp;TEXT(ROW()-1,"0000"))</f>
        <v/>
      </c>
      <c r="M411" s="5">
        <f>IF(B411="","",NOW())</f>
        <v/>
      </c>
    </row>
    <row r="412">
      <c r="A412" s="5">
        <f>IF(B412="","","MOUT-"&amp;TEXT(ROW()-1,"0000"))</f>
        <v/>
      </c>
      <c r="M412" s="5">
        <f>IF(B412="","",NOW())</f>
        <v/>
      </c>
    </row>
    <row r="413">
      <c r="A413" s="5">
        <f>IF(B413="","","MOUT-"&amp;TEXT(ROW()-1,"0000"))</f>
        <v/>
      </c>
      <c r="M413" s="5">
        <f>IF(B413="","",NOW())</f>
        <v/>
      </c>
    </row>
    <row r="414">
      <c r="A414" s="5">
        <f>IF(B414="","","MOUT-"&amp;TEXT(ROW()-1,"0000"))</f>
        <v/>
      </c>
      <c r="M414" s="5">
        <f>IF(B414="","",NOW())</f>
        <v/>
      </c>
    </row>
    <row r="415">
      <c r="A415" s="5">
        <f>IF(B415="","","MOUT-"&amp;TEXT(ROW()-1,"0000"))</f>
        <v/>
      </c>
      <c r="M415" s="5">
        <f>IF(B415="","",NOW())</f>
        <v/>
      </c>
    </row>
    <row r="416">
      <c r="A416" s="5">
        <f>IF(B416="","","MOUT-"&amp;TEXT(ROW()-1,"0000"))</f>
        <v/>
      </c>
      <c r="M416" s="5">
        <f>IF(B416="","",NOW())</f>
        <v/>
      </c>
    </row>
    <row r="417">
      <c r="A417" s="5">
        <f>IF(B417="","","MOUT-"&amp;TEXT(ROW()-1,"0000"))</f>
        <v/>
      </c>
      <c r="M417" s="5">
        <f>IF(B417="","",NOW())</f>
        <v/>
      </c>
    </row>
    <row r="418">
      <c r="A418" s="5">
        <f>IF(B418="","","MOUT-"&amp;TEXT(ROW()-1,"0000"))</f>
        <v/>
      </c>
      <c r="M418" s="5">
        <f>IF(B418="","",NOW())</f>
        <v/>
      </c>
    </row>
    <row r="419">
      <c r="A419" s="5">
        <f>IF(B419="","","MOUT-"&amp;TEXT(ROW()-1,"0000"))</f>
        <v/>
      </c>
      <c r="M419" s="5">
        <f>IF(B419="","",NOW())</f>
        <v/>
      </c>
    </row>
    <row r="420">
      <c r="A420" s="5">
        <f>IF(B420="","","MOUT-"&amp;TEXT(ROW()-1,"0000"))</f>
        <v/>
      </c>
      <c r="M420" s="5">
        <f>IF(B420="","",NOW())</f>
        <v/>
      </c>
    </row>
    <row r="421">
      <c r="A421" s="5">
        <f>IF(B421="","","MOUT-"&amp;TEXT(ROW()-1,"0000"))</f>
        <v/>
      </c>
      <c r="M421" s="5">
        <f>IF(B421="","",NOW())</f>
        <v/>
      </c>
    </row>
    <row r="422">
      <c r="A422" s="5">
        <f>IF(B422="","","MOUT-"&amp;TEXT(ROW()-1,"0000"))</f>
        <v/>
      </c>
      <c r="M422" s="5">
        <f>IF(B422="","",NOW())</f>
        <v/>
      </c>
    </row>
    <row r="423">
      <c r="A423" s="5">
        <f>IF(B423="","","MOUT-"&amp;TEXT(ROW()-1,"0000"))</f>
        <v/>
      </c>
      <c r="M423" s="5">
        <f>IF(B423="","",NOW())</f>
        <v/>
      </c>
    </row>
    <row r="424">
      <c r="A424" s="5">
        <f>IF(B424="","","MOUT-"&amp;TEXT(ROW()-1,"0000"))</f>
        <v/>
      </c>
      <c r="M424" s="5">
        <f>IF(B424="","",NOW())</f>
        <v/>
      </c>
    </row>
    <row r="425">
      <c r="A425" s="5">
        <f>IF(B425="","","MOUT-"&amp;TEXT(ROW()-1,"0000"))</f>
        <v/>
      </c>
      <c r="M425" s="5">
        <f>IF(B425="","",NOW())</f>
        <v/>
      </c>
    </row>
    <row r="426">
      <c r="A426" s="5">
        <f>IF(B426="","","MOUT-"&amp;TEXT(ROW()-1,"0000"))</f>
        <v/>
      </c>
      <c r="M426" s="5">
        <f>IF(B426="","",NOW())</f>
        <v/>
      </c>
    </row>
    <row r="427">
      <c r="A427" s="5">
        <f>IF(B427="","","MOUT-"&amp;TEXT(ROW()-1,"0000"))</f>
        <v/>
      </c>
      <c r="M427" s="5">
        <f>IF(B427="","",NOW())</f>
        <v/>
      </c>
    </row>
    <row r="428">
      <c r="A428" s="5">
        <f>IF(B428="","","MOUT-"&amp;TEXT(ROW()-1,"0000"))</f>
        <v/>
      </c>
      <c r="M428" s="5">
        <f>IF(B428="","",NOW())</f>
        <v/>
      </c>
    </row>
    <row r="429">
      <c r="A429" s="5">
        <f>IF(B429="","","MOUT-"&amp;TEXT(ROW()-1,"0000"))</f>
        <v/>
      </c>
      <c r="M429" s="5">
        <f>IF(B429="","",NOW())</f>
        <v/>
      </c>
    </row>
    <row r="430">
      <c r="A430" s="5">
        <f>IF(B430="","","MOUT-"&amp;TEXT(ROW()-1,"0000"))</f>
        <v/>
      </c>
      <c r="M430" s="5">
        <f>IF(B430="","",NOW())</f>
        <v/>
      </c>
    </row>
    <row r="431">
      <c r="A431" s="5">
        <f>IF(B431="","","MOUT-"&amp;TEXT(ROW()-1,"0000"))</f>
        <v/>
      </c>
      <c r="M431" s="5">
        <f>IF(B431="","",NOW())</f>
        <v/>
      </c>
    </row>
    <row r="432">
      <c r="A432" s="5">
        <f>IF(B432="","","MOUT-"&amp;TEXT(ROW()-1,"0000"))</f>
        <v/>
      </c>
      <c r="M432" s="5">
        <f>IF(B432="","",NOW())</f>
        <v/>
      </c>
    </row>
    <row r="433">
      <c r="A433" s="5">
        <f>IF(B433="","","MOUT-"&amp;TEXT(ROW()-1,"0000"))</f>
        <v/>
      </c>
      <c r="M433" s="5">
        <f>IF(B433="","",NOW())</f>
        <v/>
      </c>
    </row>
    <row r="434">
      <c r="A434" s="5">
        <f>IF(B434="","","MOUT-"&amp;TEXT(ROW()-1,"0000"))</f>
        <v/>
      </c>
      <c r="M434" s="5">
        <f>IF(B434="","",NOW())</f>
        <v/>
      </c>
    </row>
    <row r="435">
      <c r="A435" s="5">
        <f>IF(B435="","","MOUT-"&amp;TEXT(ROW()-1,"0000"))</f>
        <v/>
      </c>
      <c r="M435" s="5">
        <f>IF(B435="","",NOW())</f>
        <v/>
      </c>
    </row>
    <row r="436">
      <c r="A436" s="5">
        <f>IF(B436="","","MOUT-"&amp;TEXT(ROW()-1,"0000"))</f>
        <v/>
      </c>
      <c r="M436" s="5">
        <f>IF(B436="","",NOW())</f>
        <v/>
      </c>
    </row>
    <row r="437">
      <c r="A437" s="5">
        <f>IF(B437="","","MOUT-"&amp;TEXT(ROW()-1,"0000"))</f>
        <v/>
      </c>
      <c r="M437" s="5">
        <f>IF(B437="","",NOW())</f>
        <v/>
      </c>
    </row>
    <row r="438">
      <c r="A438" s="5">
        <f>IF(B438="","","MOUT-"&amp;TEXT(ROW()-1,"0000"))</f>
        <v/>
      </c>
      <c r="M438" s="5">
        <f>IF(B438="","",NOW())</f>
        <v/>
      </c>
    </row>
    <row r="439">
      <c r="A439" s="5">
        <f>IF(B439="","","MOUT-"&amp;TEXT(ROW()-1,"0000"))</f>
        <v/>
      </c>
      <c r="M439" s="5">
        <f>IF(B439="","",NOW())</f>
        <v/>
      </c>
    </row>
    <row r="440">
      <c r="A440" s="5">
        <f>IF(B440="","","MOUT-"&amp;TEXT(ROW()-1,"0000"))</f>
        <v/>
      </c>
      <c r="M440" s="5">
        <f>IF(B440="","",NOW())</f>
        <v/>
      </c>
    </row>
    <row r="441">
      <c r="A441" s="5">
        <f>IF(B441="","","MOUT-"&amp;TEXT(ROW()-1,"0000"))</f>
        <v/>
      </c>
      <c r="M441" s="5">
        <f>IF(B441="","",NOW())</f>
        <v/>
      </c>
    </row>
    <row r="442">
      <c r="A442" s="5">
        <f>IF(B442="","","MOUT-"&amp;TEXT(ROW()-1,"0000"))</f>
        <v/>
      </c>
      <c r="M442" s="5">
        <f>IF(B442="","",NOW())</f>
        <v/>
      </c>
    </row>
    <row r="443">
      <c r="A443" s="5">
        <f>IF(B443="","","MOUT-"&amp;TEXT(ROW()-1,"0000"))</f>
        <v/>
      </c>
      <c r="M443" s="5">
        <f>IF(B443="","",NOW())</f>
        <v/>
      </c>
    </row>
    <row r="444">
      <c r="A444" s="5">
        <f>IF(B444="","","MOUT-"&amp;TEXT(ROW()-1,"0000"))</f>
        <v/>
      </c>
      <c r="M444" s="5">
        <f>IF(B444="","",NOW())</f>
        <v/>
      </c>
    </row>
    <row r="445">
      <c r="A445" s="5">
        <f>IF(B445="","","MOUT-"&amp;TEXT(ROW()-1,"0000"))</f>
        <v/>
      </c>
      <c r="M445" s="5">
        <f>IF(B445="","",NOW())</f>
        <v/>
      </c>
    </row>
    <row r="446">
      <c r="A446" s="5">
        <f>IF(B446="","","MOUT-"&amp;TEXT(ROW()-1,"0000"))</f>
        <v/>
      </c>
      <c r="M446" s="5">
        <f>IF(B446="","",NOW())</f>
        <v/>
      </c>
    </row>
    <row r="447">
      <c r="A447" s="5">
        <f>IF(B447="","","MOUT-"&amp;TEXT(ROW()-1,"0000"))</f>
        <v/>
      </c>
      <c r="M447" s="5">
        <f>IF(B447="","",NOW())</f>
        <v/>
      </c>
    </row>
    <row r="448">
      <c r="A448" s="5">
        <f>IF(B448="","","MOUT-"&amp;TEXT(ROW()-1,"0000"))</f>
        <v/>
      </c>
      <c r="M448" s="5">
        <f>IF(B448="","",NOW())</f>
        <v/>
      </c>
    </row>
    <row r="449">
      <c r="A449" s="5">
        <f>IF(B449="","","MOUT-"&amp;TEXT(ROW()-1,"0000"))</f>
        <v/>
      </c>
      <c r="M449" s="5">
        <f>IF(B449="","",NOW())</f>
        <v/>
      </c>
    </row>
    <row r="450">
      <c r="A450" s="5">
        <f>IF(B450="","","MOUT-"&amp;TEXT(ROW()-1,"0000"))</f>
        <v/>
      </c>
      <c r="M450" s="5">
        <f>IF(B450="","",NOW())</f>
        <v/>
      </c>
    </row>
    <row r="451">
      <c r="A451" s="5">
        <f>IF(B451="","","MOUT-"&amp;TEXT(ROW()-1,"0000"))</f>
        <v/>
      </c>
      <c r="M451" s="5">
        <f>IF(B451="","",NOW())</f>
        <v/>
      </c>
    </row>
    <row r="452">
      <c r="A452" s="5">
        <f>IF(B452="","","MOUT-"&amp;TEXT(ROW()-1,"0000"))</f>
        <v/>
      </c>
      <c r="M452" s="5">
        <f>IF(B452="","",NOW())</f>
        <v/>
      </c>
    </row>
    <row r="453">
      <c r="A453" s="5">
        <f>IF(B453="","","MOUT-"&amp;TEXT(ROW()-1,"0000"))</f>
        <v/>
      </c>
      <c r="M453" s="5">
        <f>IF(B453="","",NOW())</f>
        <v/>
      </c>
    </row>
    <row r="454">
      <c r="A454" s="5">
        <f>IF(B454="","","MOUT-"&amp;TEXT(ROW()-1,"0000"))</f>
        <v/>
      </c>
      <c r="M454" s="5">
        <f>IF(B454="","",NOW())</f>
        <v/>
      </c>
    </row>
    <row r="455">
      <c r="A455" s="5">
        <f>IF(B455="","","MOUT-"&amp;TEXT(ROW()-1,"0000"))</f>
        <v/>
      </c>
      <c r="M455" s="5">
        <f>IF(B455="","",NOW())</f>
        <v/>
      </c>
    </row>
    <row r="456">
      <c r="A456" s="5">
        <f>IF(B456="","","MOUT-"&amp;TEXT(ROW()-1,"0000"))</f>
        <v/>
      </c>
      <c r="M456" s="5">
        <f>IF(B456="","",NOW())</f>
        <v/>
      </c>
    </row>
    <row r="457">
      <c r="A457" s="5">
        <f>IF(B457="","","MOUT-"&amp;TEXT(ROW()-1,"0000"))</f>
        <v/>
      </c>
      <c r="M457" s="5">
        <f>IF(B457="","",NOW())</f>
        <v/>
      </c>
    </row>
    <row r="458">
      <c r="A458" s="5">
        <f>IF(B458="","","MOUT-"&amp;TEXT(ROW()-1,"0000"))</f>
        <v/>
      </c>
      <c r="M458" s="5">
        <f>IF(B458="","",NOW())</f>
        <v/>
      </c>
    </row>
    <row r="459">
      <c r="A459" s="5">
        <f>IF(B459="","","MOUT-"&amp;TEXT(ROW()-1,"0000"))</f>
        <v/>
      </c>
      <c r="M459" s="5">
        <f>IF(B459="","",NOW())</f>
        <v/>
      </c>
    </row>
    <row r="460">
      <c r="A460" s="5">
        <f>IF(B460="","","MOUT-"&amp;TEXT(ROW()-1,"0000"))</f>
        <v/>
      </c>
      <c r="M460" s="5">
        <f>IF(B460="","",NOW())</f>
        <v/>
      </c>
    </row>
    <row r="461">
      <c r="A461" s="5">
        <f>IF(B461="","","MOUT-"&amp;TEXT(ROW()-1,"0000"))</f>
        <v/>
      </c>
      <c r="M461" s="5">
        <f>IF(B461="","",NOW())</f>
        <v/>
      </c>
    </row>
    <row r="462">
      <c r="A462" s="5">
        <f>IF(B462="","","MOUT-"&amp;TEXT(ROW()-1,"0000"))</f>
        <v/>
      </c>
      <c r="M462" s="5">
        <f>IF(B462="","",NOW())</f>
        <v/>
      </c>
    </row>
    <row r="463">
      <c r="A463" s="5">
        <f>IF(B463="","","MOUT-"&amp;TEXT(ROW()-1,"0000"))</f>
        <v/>
      </c>
      <c r="M463" s="5">
        <f>IF(B463="","",NOW())</f>
        <v/>
      </c>
    </row>
    <row r="464">
      <c r="A464" s="5">
        <f>IF(B464="","","MOUT-"&amp;TEXT(ROW()-1,"0000"))</f>
        <v/>
      </c>
      <c r="M464" s="5">
        <f>IF(B464="","",NOW())</f>
        <v/>
      </c>
    </row>
    <row r="465">
      <c r="A465" s="5">
        <f>IF(B465="","","MOUT-"&amp;TEXT(ROW()-1,"0000"))</f>
        <v/>
      </c>
      <c r="M465" s="5">
        <f>IF(B465="","",NOW())</f>
        <v/>
      </c>
    </row>
    <row r="466">
      <c r="A466" s="5">
        <f>IF(B466="","","MOUT-"&amp;TEXT(ROW()-1,"0000"))</f>
        <v/>
      </c>
      <c r="M466" s="5">
        <f>IF(B466="","",NOW())</f>
        <v/>
      </c>
    </row>
    <row r="467">
      <c r="A467" s="5">
        <f>IF(B467="","","MOUT-"&amp;TEXT(ROW()-1,"0000"))</f>
        <v/>
      </c>
      <c r="M467" s="5">
        <f>IF(B467="","",NOW())</f>
        <v/>
      </c>
    </row>
    <row r="468">
      <c r="A468" s="5">
        <f>IF(B468="","","MOUT-"&amp;TEXT(ROW()-1,"0000"))</f>
        <v/>
      </c>
      <c r="M468" s="5">
        <f>IF(B468="","",NOW())</f>
        <v/>
      </c>
    </row>
    <row r="469">
      <c r="A469" s="5">
        <f>IF(B469="","","MOUT-"&amp;TEXT(ROW()-1,"0000"))</f>
        <v/>
      </c>
      <c r="M469" s="5">
        <f>IF(B469="","",NOW())</f>
        <v/>
      </c>
    </row>
    <row r="470">
      <c r="A470" s="5">
        <f>IF(B470="","","MOUT-"&amp;TEXT(ROW()-1,"0000"))</f>
        <v/>
      </c>
      <c r="M470" s="5">
        <f>IF(B470="","",NOW())</f>
        <v/>
      </c>
    </row>
    <row r="471">
      <c r="A471" s="5">
        <f>IF(B471="","","MOUT-"&amp;TEXT(ROW()-1,"0000"))</f>
        <v/>
      </c>
      <c r="M471" s="5">
        <f>IF(B471="","",NOW())</f>
        <v/>
      </c>
    </row>
    <row r="472">
      <c r="A472" s="5">
        <f>IF(B472="","","MOUT-"&amp;TEXT(ROW()-1,"0000"))</f>
        <v/>
      </c>
      <c r="M472" s="5">
        <f>IF(B472="","",NOW())</f>
        <v/>
      </c>
    </row>
    <row r="473">
      <c r="A473" s="5">
        <f>IF(B473="","","MOUT-"&amp;TEXT(ROW()-1,"0000"))</f>
        <v/>
      </c>
      <c r="M473" s="5">
        <f>IF(B473="","",NOW())</f>
        <v/>
      </c>
    </row>
    <row r="474">
      <c r="A474" s="5">
        <f>IF(B474="","","MOUT-"&amp;TEXT(ROW()-1,"0000"))</f>
        <v/>
      </c>
      <c r="M474" s="5">
        <f>IF(B474="","",NOW())</f>
        <v/>
      </c>
    </row>
    <row r="475">
      <c r="A475" s="5">
        <f>IF(B475="","","MOUT-"&amp;TEXT(ROW()-1,"0000"))</f>
        <v/>
      </c>
      <c r="M475" s="5">
        <f>IF(B475="","",NOW())</f>
        <v/>
      </c>
    </row>
    <row r="476">
      <c r="A476" s="5">
        <f>IF(B476="","","MOUT-"&amp;TEXT(ROW()-1,"0000"))</f>
        <v/>
      </c>
      <c r="M476" s="5">
        <f>IF(B476="","",NOW())</f>
        <v/>
      </c>
    </row>
    <row r="477">
      <c r="A477" s="5">
        <f>IF(B477="","","MOUT-"&amp;TEXT(ROW()-1,"0000"))</f>
        <v/>
      </c>
      <c r="M477" s="5">
        <f>IF(B477="","",NOW())</f>
        <v/>
      </c>
    </row>
    <row r="478">
      <c r="A478" s="5">
        <f>IF(B478="","","MOUT-"&amp;TEXT(ROW()-1,"0000"))</f>
        <v/>
      </c>
      <c r="M478" s="5">
        <f>IF(B478="","",NOW())</f>
        <v/>
      </c>
    </row>
    <row r="479">
      <c r="A479" s="5">
        <f>IF(B479="","","MOUT-"&amp;TEXT(ROW()-1,"0000"))</f>
        <v/>
      </c>
      <c r="M479" s="5">
        <f>IF(B479="","",NOW())</f>
        <v/>
      </c>
    </row>
    <row r="480">
      <c r="A480" s="5">
        <f>IF(B480="","","MOUT-"&amp;TEXT(ROW()-1,"0000"))</f>
        <v/>
      </c>
      <c r="M480" s="5">
        <f>IF(B480="","",NOW())</f>
        <v/>
      </c>
    </row>
    <row r="481">
      <c r="A481" s="5">
        <f>IF(B481="","","MOUT-"&amp;TEXT(ROW()-1,"0000"))</f>
        <v/>
      </c>
      <c r="M481" s="5">
        <f>IF(B481="","",NOW())</f>
        <v/>
      </c>
    </row>
    <row r="482">
      <c r="A482" s="5">
        <f>IF(B482="","","MOUT-"&amp;TEXT(ROW()-1,"0000"))</f>
        <v/>
      </c>
      <c r="M482" s="5">
        <f>IF(B482="","",NOW())</f>
        <v/>
      </c>
    </row>
    <row r="483">
      <c r="A483" s="5">
        <f>IF(B483="","","MOUT-"&amp;TEXT(ROW()-1,"0000"))</f>
        <v/>
      </c>
      <c r="M483" s="5">
        <f>IF(B483="","",NOW())</f>
        <v/>
      </c>
    </row>
    <row r="484">
      <c r="A484" s="5">
        <f>IF(B484="","","MOUT-"&amp;TEXT(ROW()-1,"0000"))</f>
        <v/>
      </c>
      <c r="M484" s="5">
        <f>IF(B484="","",NOW())</f>
        <v/>
      </c>
    </row>
    <row r="485">
      <c r="A485" s="5">
        <f>IF(B485="","","MOUT-"&amp;TEXT(ROW()-1,"0000"))</f>
        <v/>
      </c>
      <c r="M485" s="5">
        <f>IF(B485="","",NOW())</f>
        <v/>
      </c>
    </row>
    <row r="486">
      <c r="A486" s="5">
        <f>IF(B486="","","MOUT-"&amp;TEXT(ROW()-1,"0000"))</f>
        <v/>
      </c>
      <c r="M486" s="5">
        <f>IF(B486="","",NOW())</f>
        <v/>
      </c>
    </row>
    <row r="487">
      <c r="A487" s="5">
        <f>IF(B487="","","MOUT-"&amp;TEXT(ROW()-1,"0000"))</f>
        <v/>
      </c>
      <c r="M487" s="5">
        <f>IF(B487="","",NOW())</f>
        <v/>
      </c>
    </row>
    <row r="488">
      <c r="A488" s="5">
        <f>IF(B488="","","MOUT-"&amp;TEXT(ROW()-1,"0000"))</f>
        <v/>
      </c>
      <c r="M488" s="5">
        <f>IF(B488="","",NOW())</f>
        <v/>
      </c>
    </row>
    <row r="489">
      <c r="A489" s="5">
        <f>IF(B489="","","MOUT-"&amp;TEXT(ROW()-1,"0000"))</f>
        <v/>
      </c>
      <c r="M489" s="5">
        <f>IF(B489="","",NOW())</f>
        <v/>
      </c>
    </row>
    <row r="490">
      <c r="A490" s="5">
        <f>IF(B490="","","MOUT-"&amp;TEXT(ROW()-1,"0000"))</f>
        <v/>
      </c>
      <c r="M490" s="5">
        <f>IF(B490="","",NOW())</f>
        <v/>
      </c>
    </row>
    <row r="491">
      <c r="A491" s="5">
        <f>IF(B491="","","MOUT-"&amp;TEXT(ROW()-1,"0000"))</f>
        <v/>
      </c>
      <c r="M491" s="5">
        <f>IF(B491="","",NOW())</f>
        <v/>
      </c>
    </row>
    <row r="492">
      <c r="A492" s="5">
        <f>IF(B492="","","MOUT-"&amp;TEXT(ROW()-1,"0000"))</f>
        <v/>
      </c>
      <c r="M492" s="5">
        <f>IF(B492="","",NOW())</f>
        <v/>
      </c>
    </row>
    <row r="493">
      <c r="A493" s="5">
        <f>IF(B493="","","MOUT-"&amp;TEXT(ROW()-1,"0000"))</f>
        <v/>
      </c>
      <c r="M493" s="5">
        <f>IF(B493="","",NOW())</f>
        <v/>
      </c>
    </row>
    <row r="494">
      <c r="A494" s="5">
        <f>IF(B494="","","MOUT-"&amp;TEXT(ROW()-1,"0000"))</f>
        <v/>
      </c>
      <c r="M494" s="5">
        <f>IF(B494="","",NOW())</f>
        <v/>
      </c>
    </row>
    <row r="495">
      <c r="A495" s="5">
        <f>IF(B495="","","MOUT-"&amp;TEXT(ROW()-1,"0000"))</f>
        <v/>
      </c>
      <c r="M495" s="5">
        <f>IF(B495="","",NOW())</f>
        <v/>
      </c>
    </row>
    <row r="496">
      <c r="A496" s="5">
        <f>IF(B496="","","MOUT-"&amp;TEXT(ROW()-1,"0000"))</f>
        <v/>
      </c>
      <c r="M496" s="5">
        <f>IF(B496="","",NOW())</f>
        <v/>
      </c>
    </row>
    <row r="497">
      <c r="A497" s="5">
        <f>IF(B497="","","MOUT-"&amp;TEXT(ROW()-1,"0000"))</f>
        <v/>
      </c>
      <c r="M497" s="5">
        <f>IF(B497="","",NOW())</f>
        <v/>
      </c>
    </row>
    <row r="498">
      <c r="A498" s="5">
        <f>IF(B498="","","MOUT-"&amp;TEXT(ROW()-1,"0000"))</f>
        <v/>
      </c>
      <c r="M498" s="5">
        <f>IF(B498="","",NOW())</f>
        <v/>
      </c>
    </row>
    <row r="499">
      <c r="A499" s="5">
        <f>IF(B499="","","MOUT-"&amp;TEXT(ROW()-1,"0000"))</f>
        <v/>
      </c>
      <c r="M499" s="5">
        <f>IF(B499="","",NOW())</f>
        <v/>
      </c>
    </row>
    <row r="500">
      <c r="A500" s="5">
        <f>IF(B500="","","MOUT-"&amp;TEXT(ROW()-1,"0000"))</f>
        <v/>
      </c>
      <c r="M500" s="5">
        <f>IF(B500="","",NOW())</f>
        <v/>
      </c>
    </row>
    <row r="501">
      <c r="A501" s="5">
        <f>IF(B501="","","MOUT-"&amp;TEXT(ROW()-1,"0000"))</f>
        <v/>
      </c>
      <c r="M501" s="5">
        <f>IF(B501="","",NOW())</f>
        <v/>
      </c>
    </row>
  </sheetData>
  <dataValidations count="3">
    <dataValidation sqref="D2:D1000" showDropDown="0" showInputMessage="0" showErrorMessage="0" allowBlank="1" type="list">
      <formula1>"UPI-GPay,UPI-PhonePe,UPI-Other,Bank Transfer,Cash,NACH,Refund-Out"</formula1>
    </dataValidation>
    <dataValidation sqref="E2:E1000" showDropDown="0" showInputMessage="0" showErrorMessage="0" allowBlank="1" type="list">
      <formula1>"Bank,UPI float,Cash drawer"</formula1>
    </dataValidation>
    <dataValidation sqref="G2:G1000" showDropDown="0" showInputMessage="0" showErrorMessage="0" allowBlank="1" type="list">
      <formula1>"Ingredients,Packaging,Utilities,Rent,Equipment (capex),Maintenance,Marketing,Delivery (Porter/Dunzo),Founder Draw,Transfer (Account-to-Account),Other"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2" customWidth="1" min="4" max="4"/>
    <col width="18" customWidth="1" min="5" max="5"/>
    <col width="14" customWidth="1" min="6" max="6"/>
    <col width="14" customWidth="1" min="7" max="7"/>
    <col width="40" customWidth="1" min="8" max="8"/>
  </cols>
  <sheetData>
    <row r="1" ht="36" customHeight="1">
      <c r="A1" s="4" t="inlineStr">
        <is>
          <t>Vendor name</t>
        </is>
      </c>
      <c r="B1" s="4" t="inlineStr">
        <is>
          <t>Category</t>
        </is>
      </c>
      <c r="C1" s="4" t="inlineStr">
        <is>
          <t>Preferred channel</t>
        </is>
      </c>
      <c r="D1" s="4" t="inlineStr">
        <is>
          <t>VPA / Account</t>
        </is>
      </c>
      <c r="E1" s="4" t="inlineStr">
        <is>
          <t>Total paid to date (₹)</t>
        </is>
      </c>
      <c r="F1" s="4" t="inlineStr">
        <is>
          <t>Last payment date</t>
        </is>
      </c>
      <c r="G1" s="4" t="inlineStr">
        <is>
          <t>Payment count</t>
        </is>
      </c>
      <c r="H1" s="4" t="inlineStr">
        <is>
          <t>Notes</t>
        </is>
      </c>
    </row>
    <row r="2">
      <c r="A2" s="8" t="inlineStr">
        <is>
          <t>Metro Cash &amp; Carry</t>
        </is>
      </c>
      <c r="B2" s="8" t="inlineStr">
        <is>
          <t>Ingredient supplier</t>
        </is>
      </c>
      <c r="C2" s="8" t="inlineStr">
        <is>
          <t>UPI-PhonePe</t>
        </is>
      </c>
      <c r="D2" s="8" t="inlineStr">
        <is>
          <t>metrocc@hdfcbank</t>
        </is>
      </c>
      <c r="E2" s="5">
        <f>IFERROR(SUMIFS('Money Out'!F:F,'Money Out'!J:J,A2),0)</f>
        <v/>
      </c>
      <c r="F2" s="5">
        <f>IFERROR(IF(MAXIFS('Money Out'!B:B,'Money Out'!J:J,A2)=0,"",MAXIFS('Money Out'!B:B,'Money Out'!J:J,A2)),"")</f>
        <v/>
      </c>
      <c r="G2" s="5">
        <f>IF(A2="","",COUNTIF('Money Out'!J:J,A2))</f>
        <v/>
      </c>
      <c r="H2" s="8" t="inlineStr">
        <is>
          <t>HoReCa account; bulk buys; visit weekly</t>
        </is>
      </c>
    </row>
    <row r="3">
      <c r="A3" s="8" t="inlineStr">
        <is>
          <t>Vijetha Supermarket</t>
        </is>
      </c>
      <c r="B3" s="8" t="inlineStr">
        <is>
          <t>Ingredient supplier</t>
        </is>
      </c>
      <c r="C3" s="8" t="inlineStr">
        <is>
          <t>UPI-GPay</t>
        </is>
      </c>
      <c r="D3" s="8" t="inlineStr">
        <is>
          <t>vijetha@oksbi</t>
        </is>
      </c>
      <c r="E3" s="5">
        <f>IFERROR(SUMIFS('Money Out'!F:F,'Money Out'!J:J,A3),0)</f>
        <v/>
      </c>
      <c r="F3" s="5">
        <f>IFERROR(IF(MAXIFS('Money Out'!B:B,'Money Out'!J:J,A3)=0,"",MAXIFS('Money Out'!B:B,'Money Out'!J:J,A3)),"")</f>
        <v/>
      </c>
      <c r="G3" s="5">
        <f>IF(A3="","",COUNTIF('Money Out'!J:J,A3))</f>
        <v/>
      </c>
      <c r="H3" s="8" t="inlineStr">
        <is>
          <t>Top-up shop within walking distance</t>
        </is>
      </c>
    </row>
    <row r="4">
      <c r="A4" s="8" t="inlineStr">
        <is>
          <t>Heritage Dairy</t>
        </is>
      </c>
      <c r="B4" s="8" t="inlineStr">
        <is>
          <t>Ingredient supplier</t>
        </is>
      </c>
      <c r="C4" s="8" t="inlineStr">
        <is>
          <t>UPI-GPay</t>
        </is>
      </c>
      <c r="D4" s="8" t="inlineStr">
        <is>
          <t>heritage@okhdfc</t>
        </is>
      </c>
      <c r="E4" s="5">
        <f>IFERROR(SUMIFS('Money Out'!F:F,'Money Out'!J:J,A4),0)</f>
        <v/>
      </c>
      <c r="F4" s="5">
        <f>IFERROR(IF(MAXIFS('Money Out'!B:B,'Money Out'!J:J,A4)=0,"",MAXIFS('Money Out'!B:B,'Money Out'!J:J,A4)),"")</f>
        <v/>
      </c>
      <c r="G4" s="5">
        <f>IF(A4="","",COUNTIF('Money Out'!J:J,A4))</f>
        <v/>
      </c>
      <c r="H4" s="8" t="inlineStr">
        <is>
          <t>Fresh dairy 2x/week</t>
        </is>
      </c>
    </row>
    <row r="5">
      <c r="A5" s="8" t="inlineStr">
        <is>
          <t>Callebaut Distributor — Hyd</t>
        </is>
      </c>
      <c r="B5" s="8" t="inlineStr">
        <is>
          <t>Ingredient supplier</t>
        </is>
      </c>
      <c r="C5" s="8" t="inlineStr">
        <is>
          <t>UPI-PhonePe</t>
        </is>
      </c>
      <c r="D5" s="8" t="inlineStr">
        <is>
          <t>callebaut@okicici</t>
        </is>
      </c>
      <c r="E5" s="5">
        <f>IFERROR(SUMIFS('Money Out'!F:F,'Money Out'!J:J,A5),0)</f>
        <v/>
      </c>
      <c r="F5" s="5">
        <f>IFERROR(IF(MAXIFS('Money Out'!B:B,'Money Out'!J:J,A5)=0,"",MAXIFS('Money Out'!B:B,'Money Out'!J:J,A5)),"")</f>
        <v/>
      </c>
      <c r="G5" s="5">
        <f>IF(A5="","",COUNTIF('Money Out'!J:J,A5))</f>
        <v/>
      </c>
      <c r="H5" s="8" t="inlineStr">
        <is>
          <t>Couverture chocolate; 5kg blocks; lead time 2 days</t>
        </is>
      </c>
    </row>
    <row r="6">
      <c r="A6" s="8" t="inlineStr">
        <is>
          <t>Wholesale Box Supplier — Madhapur</t>
        </is>
      </c>
      <c r="B6" s="8" t="inlineStr">
        <is>
          <t>Packaging</t>
        </is>
      </c>
      <c r="C6" s="8" t="inlineStr">
        <is>
          <t>Bank Transfer</t>
        </is>
      </c>
      <c r="D6" s="8" t="inlineStr">
        <is>
          <t>9876543210@upi</t>
        </is>
      </c>
      <c r="E6" s="5">
        <f>IFERROR(SUMIFS('Money Out'!F:F,'Money Out'!J:J,A6),0)</f>
        <v/>
      </c>
      <c r="F6" s="5">
        <f>IFERROR(IF(MAXIFS('Money Out'!B:B,'Money Out'!J:J,A6)=0,"",MAXIFS('Money Out'!B:B,'Money Out'!J:J,A6)),"")</f>
        <v/>
      </c>
      <c r="G6" s="5">
        <f>IF(A6="","",COUNTIF('Money Out'!J:J,A6))</f>
        <v/>
      </c>
      <c r="H6" s="8" t="inlineStr">
        <is>
          <t>Cake boxes, cupcake clamshells, ribbons; MOQ 50</t>
        </is>
      </c>
    </row>
    <row r="7">
      <c r="A7" s="8" t="inlineStr">
        <is>
          <t>GHMC (electricity)</t>
        </is>
      </c>
      <c r="B7" s="8" t="inlineStr">
        <is>
          <t>Utility</t>
        </is>
      </c>
      <c r="C7" s="8" t="inlineStr">
        <is>
          <t>UPI-GPay</t>
        </is>
      </c>
      <c r="D7" s="8" t="inlineStr">
        <is>
          <t>ghmc@billdesk</t>
        </is>
      </c>
      <c r="E7" s="5">
        <f>IFERROR(SUMIFS('Money Out'!F:F,'Money Out'!J:J,A7),0)</f>
        <v/>
      </c>
      <c r="F7" s="5">
        <f>IFERROR(IF(MAXIFS('Money Out'!B:B,'Money Out'!J:J,A7)=0,"",MAXIFS('Money Out'!B:B,'Money Out'!J:J,A7)),"")</f>
        <v/>
      </c>
      <c r="G7" s="5">
        <f>IF(A7="","",COUNTIF('Money Out'!J:J,A7))</f>
        <v/>
      </c>
      <c r="H7" s="8" t="inlineStr">
        <is>
          <t>Auto-debit option pending</t>
        </is>
      </c>
    </row>
    <row r="8">
      <c r="A8" s="8" t="inlineStr">
        <is>
          <t>Bharat Gas</t>
        </is>
      </c>
      <c r="B8" s="8" t="inlineStr">
        <is>
          <t>Utility</t>
        </is>
      </c>
      <c r="C8" s="8" t="inlineStr">
        <is>
          <t>Cash</t>
        </is>
      </c>
      <c r="D8" s="8" t="inlineStr"/>
      <c r="E8" s="5">
        <f>IFERROR(SUMIFS('Money Out'!F:F,'Money Out'!J:J,A8),0)</f>
        <v/>
      </c>
      <c r="F8" s="5">
        <f>IFERROR(IF(MAXIFS('Money Out'!B:B,'Money Out'!J:J,A8)=0,"",MAXIFS('Money Out'!B:B,'Money Out'!J:J,A8)),"")</f>
        <v/>
      </c>
      <c r="G8" s="5">
        <f>IF(A8="","",COUNTIF('Money Out'!J:J,A8))</f>
        <v/>
      </c>
      <c r="H8" s="8" t="inlineStr">
        <is>
          <t>Cylinder delivery; cash to delivery boy</t>
        </is>
      </c>
    </row>
    <row r="9">
      <c r="A9" s="8" t="inlineStr">
        <is>
          <t>Porter</t>
        </is>
      </c>
      <c r="B9" s="8" t="inlineStr">
        <is>
          <t>Delivery partner</t>
        </is>
      </c>
      <c r="C9" s="8" t="inlineStr">
        <is>
          <t>UPI-GPay</t>
        </is>
      </c>
      <c r="D9" s="8" t="inlineStr">
        <is>
          <t>porter@axis</t>
        </is>
      </c>
      <c r="E9" s="5">
        <f>IFERROR(SUMIFS('Money Out'!F:F,'Money Out'!J:J,A9),0)</f>
        <v/>
      </c>
      <c r="F9" s="5">
        <f>IFERROR(IF(MAXIFS('Money Out'!B:B,'Money Out'!J:J,A9)=0,"",MAXIFS('Money Out'!B:B,'Money Out'!J:J,A9)),"")</f>
        <v/>
      </c>
      <c r="G9" s="5">
        <f>IF(A9="","",COUNTIF('Money Out'!J:J,A9))</f>
        <v/>
      </c>
      <c r="H9" s="8" t="inlineStr">
        <is>
          <t>Same-day local deliveries; pay per ride</t>
        </is>
      </c>
    </row>
    <row r="10">
      <c r="A10" s="8" t="inlineStr">
        <is>
          <t>KitchenAid India (Amazon)</t>
        </is>
      </c>
      <c r="B10" s="8" t="inlineStr">
        <is>
          <t>Capex supplier</t>
        </is>
      </c>
      <c r="C10" s="8" t="inlineStr">
        <is>
          <t>Bank Transfer</t>
        </is>
      </c>
      <c r="D10" s="8" t="inlineStr"/>
      <c r="E10" s="5">
        <f>IFERROR(SUMIFS('Money Out'!F:F,'Money Out'!J:J,A10),0)</f>
        <v/>
      </c>
      <c r="F10" s="5">
        <f>IFERROR(IF(MAXIFS('Money Out'!B:B,'Money Out'!J:J,A10)=0,"",MAXIFS('Money Out'!B:B,'Money Out'!J:J,A10)),"")</f>
        <v/>
      </c>
      <c r="G10" s="5">
        <f>IF(A10="","",COUNTIF('Money Out'!J:J,A10))</f>
        <v/>
      </c>
      <c r="H10" s="8" t="inlineStr">
        <is>
          <t>One-off; stand mixer; warranty 2 years</t>
        </is>
      </c>
    </row>
    <row r="11">
      <c r="E11" s="5">
        <f>IFERROR(SUMIFS('Money Out'!F:F,'Money Out'!J:J,A11),0)</f>
        <v/>
      </c>
      <c r="F11" s="5">
        <f>IFERROR(IF(MAXIFS('Money Out'!B:B,'Money Out'!J:J,A11)=0,"",MAXIFS('Money Out'!B:B,'Money Out'!J:J,A11)),"")</f>
        <v/>
      </c>
      <c r="G11" s="5">
        <f>IF(A11="","",COUNTIF('Money Out'!J:J,A11))</f>
        <v/>
      </c>
    </row>
    <row r="12">
      <c r="E12" s="5">
        <f>IFERROR(SUMIFS('Money Out'!F:F,'Money Out'!J:J,A12),0)</f>
        <v/>
      </c>
      <c r="F12" s="5">
        <f>IFERROR(IF(MAXIFS('Money Out'!B:B,'Money Out'!J:J,A12)=0,"",MAXIFS('Money Out'!B:B,'Money Out'!J:J,A12)),"")</f>
        <v/>
      </c>
      <c r="G12" s="5">
        <f>IF(A12="","",COUNTIF('Money Out'!J:J,A12))</f>
        <v/>
      </c>
    </row>
    <row r="13">
      <c r="E13" s="5">
        <f>IFERROR(SUMIFS('Money Out'!F:F,'Money Out'!J:J,A13),0)</f>
        <v/>
      </c>
      <c r="F13" s="5">
        <f>IFERROR(IF(MAXIFS('Money Out'!B:B,'Money Out'!J:J,A13)=0,"",MAXIFS('Money Out'!B:B,'Money Out'!J:J,A13)),"")</f>
        <v/>
      </c>
      <c r="G13" s="5">
        <f>IF(A13="","",COUNTIF('Money Out'!J:J,A13))</f>
        <v/>
      </c>
    </row>
    <row r="14">
      <c r="E14" s="5">
        <f>IFERROR(SUMIFS('Money Out'!F:F,'Money Out'!J:J,A14),0)</f>
        <v/>
      </c>
      <c r="F14" s="5">
        <f>IFERROR(IF(MAXIFS('Money Out'!B:B,'Money Out'!J:J,A14)=0,"",MAXIFS('Money Out'!B:B,'Money Out'!J:J,A14)),"")</f>
        <v/>
      </c>
      <c r="G14" s="5">
        <f>IF(A14="","",COUNTIF('Money Out'!J:J,A14))</f>
        <v/>
      </c>
    </row>
    <row r="15">
      <c r="E15" s="5">
        <f>IFERROR(SUMIFS('Money Out'!F:F,'Money Out'!J:J,A15),0)</f>
        <v/>
      </c>
      <c r="F15" s="5">
        <f>IFERROR(IF(MAXIFS('Money Out'!B:B,'Money Out'!J:J,A15)=0,"",MAXIFS('Money Out'!B:B,'Money Out'!J:J,A15)),"")</f>
        <v/>
      </c>
      <c r="G15" s="5">
        <f>IF(A15="","",COUNTIF('Money Out'!J:J,A15))</f>
        <v/>
      </c>
    </row>
    <row r="16">
      <c r="E16" s="5">
        <f>IFERROR(SUMIFS('Money Out'!F:F,'Money Out'!J:J,A16),0)</f>
        <v/>
      </c>
      <c r="F16" s="5">
        <f>IFERROR(IF(MAXIFS('Money Out'!B:B,'Money Out'!J:J,A16)=0,"",MAXIFS('Money Out'!B:B,'Money Out'!J:J,A16)),"")</f>
        <v/>
      </c>
      <c r="G16" s="5">
        <f>IF(A16="","",COUNTIF('Money Out'!J:J,A16))</f>
        <v/>
      </c>
    </row>
    <row r="17">
      <c r="E17" s="5">
        <f>IFERROR(SUMIFS('Money Out'!F:F,'Money Out'!J:J,A17),0)</f>
        <v/>
      </c>
      <c r="F17" s="5">
        <f>IFERROR(IF(MAXIFS('Money Out'!B:B,'Money Out'!J:J,A17)=0,"",MAXIFS('Money Out'!B:B,'Money Out'!J:J,A17)),"")</f>
        <v/>
      </c>
      <c r="G17" s="5">
        <f>IF(A17="","",COUNTIF('Money Out'!J:J,A17))</f>
        <v/>
      </c>
    </row>
    <row r="18">
      <c r="E18" s="5">
        <f>IFERROR(SUMIFS('Money Out'!F:F,'Money Out'!J:J,A18),0)</f>
        <v/>
      </c>
      <c r="F18" s="5">
        <f>IFERROR(IF(MAXIFS('Money Out'!B:B,'Money Out'!J:J,A18)=0,"",MAXIFS('Money Out'!B:B,'Money Out'!J:J,A18)),"")</f>
        <v/>
      </c>
      <c r="G18" s="5">
        <f>IF(A18="","",COUNTIF('Money Out'!J:J,A18))</f>
        <v/>
      </c>
    </row>
    <row r="19">
      <c r="E19" s="5">
        <f>IFERROR(SUMIFS('Money Out'!F:F,'Money Out'!J:J,A19),0)</f>
        <v/>
      </c>
      <c r="F19" s="5">
        <f>IFERROR(IF(MAXIFS('Money Out'!B:B,'Money Out'!J:J,A19)=0,"",MAXIFS('Money Out'!B:B,'Money Out'!J:J,A19)),"")</f>
        <v/>
      </c>
      <c r="G19" s="5">
        <f>IF(A19="","",COUNTIF('Money Out'!J:J,A19))</f>
        <v/>
      </c>
    </row>
    <row r="20">
      <c r="E20" s="5">
        <f>IFERROR(SUMIFS('Money Out'!F:F,'Money Out'!J:J,A20),0)</f>
        <v/>
      </c>
      <c r="F20" s="5">
        <f>IFERROR(IF(MAXIFS('Money Out'!B:B,'Money Out'!J:J,A20)=0,"",MAXIFS('Money Out'!B:B,'Money Out'!J:J,A20)),"")</f>
        <v/>
      </c>
      <c r="G20" s="5">
        <f>IF(A20="","",COUNTIF('Money Out'!J:J,A20))</f>
        <v/>
      </c>
    </row>
    <row r="21">
      <c r="E21" s="5">
        <f>IFERROR(SUMIFS('Money Out'!F:F,'Money Out'!J:J,A21),0)</f>
        <v/>
      </c>
      <c r="F21" s="5">
        <f>IFERROR(IF(MAXIFS('Money Out'!B:B,'Money Out'!J:J,A21)=0,"",MAXIFS('Money Out'!B:B,'Money Out'!J:J,A21)),"")</f>
        <v/>
      </c>
      <c r="G21" s="5">
        <f>IF(A21="","",COUNTIF('Money Out'!J:J,A21))</f>
        <v/>
      </c>
    </row>
    <row r="22">
      <c r="E22" s="5">
        <f>IFERROR(SUMIFS('Money Out'!F:F,'Money Out'!J:J,A22),0)</f>
        <v/>
      </c>
      <c r="F22" s="5">
        <f>IFERROR(IF(MAXIFS('Money Out'!B:B,'Money Out'!J:J,A22)=0,"",MAXIFS('Money Out'!B:B,'Money Out'!J:J,A22)),"")</f>
        <v/>
      </c>
      <c r="G22" s="5">
        <f>IF(A22="","",COUNTIF('Money Out'!J:J,A22))</f>
        <v/>
      </c>
    </row>
    <row r="23">
      <c r="E23" s="5">
        <f>IFERROR(SUMIFS('Money Out'!F:F,'Money Out'!J:J,A23),0)</f>
        <v/>
      </c>
      <c r="F23" s="5">
        <f>IFERROR(IF(MAXIFS('Money Out'!B:B,'Money Out'!J:J,A23)=0,"",MAXIFS('Money Out'!B:B,'Money Out'!J:J,A23)),"")</f>
        <v/>
      </c>
      <c r="G23" s="5">
        <f>IF(A23="","",COUNTIF('Money Out'!J:J,A23))</f>
        <v/>
      </c>
    </row>
    <row r="24">
      <c r="E24" s="5">
        <f>IFERROR(SUMIFS('Money Out'!F:F,'Money Out'!J:J,A24),0)</f>
        <v/>
      </c>
      <c r="F24" s="5">
        <f>IFERROR(IF(MAXIFS('Money Out'!B:B,'Money Out'!J:J,A24)=0,"",MAXIFS('Money Out'!B:B,'Money Out'!J:J,A24)),"")</f>
        <v/>
      </c>
      <c r="G24" s="5">
        <f>IF(A24="","",COUNTIF('Money Out'!J:J,A24))</f>
        <v/>
      </c>
    </row>
    <row r="25">
      <c r="E25" s="5">
        <f>IFERROR(SUMIFS('Money Out'!F:F,'Money Out'!J:J,A25),0)</f>
        <v/>
      </c>
      <c r="F25" s="5">
        <f>IFERROR(IF(MAXIFS('Money Out'!B:B,'Money Out'!J:J,A25)=0,"",MAXIFS('Money Out'!B:B,'Money Out'!J:J,A25)),"")</f>
        <v/>
      </c>
      <c r="G25" s="5">
        <f>IF(A25="","",COUNTIF('Money Out'!J:J,A25))</f>
        <v/>
      </c>
    </row>
    <row r="26">
      <c r="E26" s="5">
        <f>IFERROR(SUMIFS('Money Out'!F:F,'Money Out'!J:J,A26),0)</f>
        <v/>
      </c>
      <c r="F26" s="5">
        <f>IFERROR(IF(MAXIFS('Money Out'!B:B,'Money Out'!J:J,A26)=0,"",MAXIFS('Money Out'!B:B,'Money Out'!J:J,A26)),"")</f>
        <v/>
      </c>
      <c r="G26" s="5">
        <f>IF(A26="","",COUNTIF('Money Out'!J:J,A26))</f>
        <v/>
      </c>
    </row>
    <row r="27">
      <c r="E27" s="5">
        <f>IFERROR(SUMIFS('Money Out'!F:F,'Money Out'!J:J,A27),0)</f>
        <v/>
      </c>
      <c r="F27" s="5">
        <f>IFERROR(IF(MAXIFS('Money Out'!B:B,'Money Out'!J:J,A27)=0,"",MAXIFS('Money Out'!B:B,'Money Out'!J:J,A27)),"")</f>
        <v/>
      </c>
      <c r="G27" s="5">
        <f>IF(A27="","",COUNTIF('Money Out'!J:J,A27))</f>
        <v/>
      </c>
    </row>
    <row r="28">
      <c r="E28" s="5">
        <f>IFERROR(SUMIFS('Money Out'!F:F,'Money Out'!J:J,A28),0)</f>
        <v/>
      </c>
      <c r="F28" s="5">
        <f>IFERROR(IF(MAXIFS('Money Out'!B:B,'Money Out'!J:J,A28)=0,"",MAXIFS('Money Out'!B:B,'Money Out'!J:J,A28)),"")</f>
        <v/>
      </c>
      <c r="G28" s="5">
        <f>IF(A28="","",COUNTIF('Money Out'!J:J,A28))</f>
        <v/>
      </c>
    </row>
    <row r="29">
      <c r="E29" s="5">
        <f>IFERROR(SUMIFS('Money Out'!F:F,'Money Out'!J:J,A29),0)</f>
        <v/>
      </c>
      <c r="F29" s="5">
        <f>IFERROR(IF(MAXIFS('Money Out'!B:B,'Money Out'!J:J,A29)=0,"",MAXIFS('Money Out'!B:B,'Money Out'!J:J,A29)),"")</f>
        <v/>
      </c>
      <c r="G29" s="5">
        <f>IF(A29="","",COUNTIF('Money Out'!J:J,A29))</f>
        <v/>
      </c>
    </row>
    <row r="30">
      <c r="E30" s="5">
        <f>IFERROR(SUMIFS('Money Out'!F:F,'Money Out'!J:J,A30),0)</f>
        <v/>
      </c>
      <c r="F30" s="5">
        <f>IFERROR(IF(MAXIFS('Money Out'!B:B,'Money Out'!J:J,A30)=0,"",MAXIFS('Money Out'!B:B,'Money Out'!J:J,A30)),"")</f>
        <v/>
      </c>
      <c r="G30" s="5">
        <f>IF(A30="","",COUNTIF('Money Out'!J:J,A30))</f>
        <v/>
      </c>
    </row>
    <row r="31">
      <c r="E31" s="5">
        <f>IFERROR(SUMIFS('Money Out'!F:F,'Money Out'!J:J,A31),0)</f>
        <v/>
      </c>
      <c r="F31" s="5">
        <f>IFERROR(IF(MAXIFS('Money Out'!B:B,'Money Out'!J:J,A31)=0,"",MAXIFS('Money Out'!B:B,'Money Out'!J:J,A31)),"")</f>
        <v/>
      </c>
      <c r="G31" s="5">
        <f>IF(A31="","",COUNTIF('Money Out'!J:J,A31))</f>
        <v/>
      </c>
    </row>
    <row r="32">
      <c r="E32" s="5">
        <f>IFERROR(SUMIFS('Money Out'!F:F,'Money Out'!J:J,A32),0)</f>
        <v/>
      </c>
      <c r="F32" s="5">
        <f>IFERROR(IF(MAXIFS('Money Out'!B:B,'Money Out'!J:J,A32)=0,"",MAXIFS('Money Out'!B:B,'Money Out'!J:J,A32)),"")</f>
        <v/>
      </c>
      <c r="G32" s="5">
        <f>IF(A32="","",COUNTIF('Money Out'!J:J,A32))</f>
        <v/>
      </c>
    </row>
    <row r="33">
      <c r="E33" s="5">
        <f>IFERROR(SUMIFS('Money Out'!F:F,'Money Out'!J:J,A33),0)</f>
        <v/>
      </c>
      <c r="F33" s="5">
        <f>IFERROR(IF(MAXIFS('Money Out'!B:B,'Money Out'!J:J,A33)=0,"",MAXIFS('Money Out'!B:B,'Money Out'!J:J,A33)),"")</f>
        <v/>
      </c>
      <c r="G33" s="5">
        <f>IF(A33="","",COUNTIF('Money Out'!J:J,A33))</f>
        <v/>
      </c>
    </row>
    <row r="34">
      <c r="E34" s="5">
        <f>IFERROR(SUMIFS('Money Out'!F:F,'Money Out'!J:J,A34),0)</f>
        <v/>
      </c>
      <c r="F34" s="5">
        <f>IFERROR(IF(MAXIFS('Money Out'!B:B,'Money Out'!J:J,A34)=0,"",MAXIFS('Money Out'!B:B,'Money Out'!J:J,A34)),"")</f>
        <v/>
      </c>
      <c r="G34" s="5">
        <f>IF(A34="","",COUNTIF('Money Out'!J:J,A34))</f>
        <v/>
      </c>
    </row>
    <row r="35">
      <c r="E35" s="5">
        <f>IFERROR(SUMIFS('Money Out'!F:F,'Money Out'!J:J,A35),0)</f>
        <v/>
      </c>
      <c r="F35" s="5">
        <f>IFERROR(IF(MAXIFS('Money Out'!B:B,'Money Out'!J:J,A35)=0,"",MAXIFS('Money Out'!B:B,'Money Out'!J:J,A35)),"")</f>
        <v/>
      </c>
      <c r="G35" s="5">
        <f>IF(A35="","",COUNTIF('Money Out'!J:J,A35))</f>
        <v/>
      </c>
    </row>
    <row r="36">
      <c r="E36" s="5">
        <f>IFERROR(SUMIFS('Money Out'!F:F,'Money Out'!J:J,A36),0)</f>
        <v/>
      </c>
      <c r="F36" s="5">
        <f>IFERROR(IF(MAXIFS('Money Out'!B:B,'Money Out'!J:J,A36)=0,"",MAXIFS('Money Out'!B:B,'Money Out'!J:J,A36)),"")</f>
        <v/>
      </c>
      <c r="G36" s="5">
        <f>IF(A36="","",COUNTIF('Money Out'!J:J,A36))</f>
        <v/>
      </c>
    </row>
    <row r="37">
      <c r="E37" s="5">
        <f>IFERROR(SUMIFS('Money Out'!F:F,'Money Out'!J:J,A37),0)</f>
        <v/>
      </c>
      <c r="F37" s="5">
        <f>IFERROR(IF(MAXIFS('Money Out'!B:B,'Money Out'!J:J,A37)=0,"",MAXIFS('Money Out'!B:B,'Money Out'!J:J,A37)),"")</f>
        <v/>
      </c>
      <c r="G37" s="5">
        <f>IF(A37="","",COUNTIF('Money Out'!J:J,A37))</f>
        <v/>
      </c>
    </row>
    <row r="38">
      <c r="E38" s="5">
        <f>IFERROR(SUMIFS('Money Out'!F:F,'Money Out'!J:J,A38),0)</f>
        <v/>
      </c>
      <c r="F38" s="5">
        <f>IFERROR(IF(MAXIFS('Money Out'!B:B,'Money Out'!J:J,A38)=0,"",MAXIFS('Money Out'!B:B,'Money Out'!J:J,A38)),"")</f>
        <v/>
      </c>
      <c r="G38" s="5">
        <f>IF(A38="","",COUNTIF('Money Out'!J:J,A38))</f>
        <v/>
      </c>
    </row>
    <row r="39">
      <c r="E39" s="5">
        <f>IFERROR(SUMIFS('Money Out'!F:F,'Money Out'!J:J,A39),0)</f>
        <v/>
      </c>
      <c r="F39" s="5">
        <f>IFERROR(IF(MAXIFS('Money Out'!B:B,'Money Out'!J:J,A39)=0,"",MAXIFS('Money Out'!B:B,'Money Out'!J:J,A39)),"")</f>
        <v/>
      </c>
      <c r="G39" s="5">
        <f>IF(A39="","",COUNTIF('Money Out'!J:J,A39))</f>
        <v/>
      </c>
    </row>
    <row r="40">
      <c r="E40" s="5">
        <f>IFERROR(SUMIFS('Money Out'!F:F,'Money Out'!J:J,A40),0)</f>
        <v/>
      </c>
      <c r="F40" s="5">
        <f>IFERROR(IF(MAXIFS('Money Out'!B:B,'Money Out'!J:J,A40)=0,"",MAXIFS('Money Out'!B:B,'Money Out'!J:J,A40)),"")</f>
        <v/>
      </c>
      <c r="G40" s="5">
        <f>IF(A40="","",COUNTIF('Money Out'!J:J,A40))</f>
        <v/>
      </c>
    </row>
    <row r="41">
      <c r="E41" s="5">
        <f>IFERROR(SUMIFS('Money Out'!F:F,'Money Out'!J:J,A41),0)</f>
        <v/>
      </c>
      <c r="F41" s="5">
        <f>IFERROR(IF(MAXIFS('Money Out'!B:B,'Money Out'!J:J,A41)=0,"",MAXIFS('Money Out'!B:B,'Money Out'!J:J,A41)),"")</f>
        <v/>
      </c>
      <c r="G41" s="5">
        <f>IF(A41="","",COUNTIF('Money Out'!J:J,A41))</f>
        <v/>
      </c>
    </row>
    <row r="42">
      <c r="E42" s="5">
        <f>IFERROR(SUMIFS('Money Out'!F:F,'Money Out'!J:J,A42),0)</f>
        <v/>
      </c>
      <c r="F42" s="5">
        <f>IFERROR(IF(MAXIFS('Money Out'!B:B,'Money Out'!J:J,A42)=0,"",MAXIFS('Money Out'!B:B,'Money Out'!J:J,A42)),"")</f>
        <v/>
      </c>
      <c r="G42" s="5">
        <f>IF(A42="","",COUNTIF('Money Out'!J:J,A42))</f>
        <v/>
      </c>
    </row>
    <row r="43">
      <c r="E43" s="5">
        <f>IFERROR(SUMIFS('Money Out'!F:F,'Money Out'!J:J,A43),0)</f>
        <v/>
      </c>
      <c r="F43" s="5">
        <f>IFERROR(IF(MAXIFS('Money Out'!B:B,'Money Out'!J:J,A43)=0,"",MAXIFS('Money Out'!B:B,'Money Out'!J:J,A43)),"")</f>
        <v/>
      </c>
      <c r="G43" s="5">
        <f>IF(A43="","",COUNTIF('Money Out'!J:J,A43))</f>
        <v/>
      </c>
    </row>
    <row r="44">
      <c r="E44" s="5">
        <f>IFERROR(SUMIFS('Money Out'!F:F,'Money Out'!J:J,A44),0)</f>
        <v/>
      </c>
      <c r="F44" s="5">
        <f>IFERROR(IF(MAXIFS('Money Out'!B:B,'Money Out'!J:J,A44)=0,"",MAXIFS('Money Out'!B:B,'Money Out'!J:J,A44)),"")</f>
        <v/>
      </c>
      <c r="G44" s="5">
        <f>IF(A44="","",COUNTIF('Money Out'!J:J,A44))</f>
        <v/>
      </c>
    </row>
    <row r="45">
      <c r="E45" s="5">
        <f>IFERROR(SUMIFS('Money Out'!F:F,'Money Out'!J:J,A45),0)</f>
        <v/>
      </c>
      <c r="F45" s="5">
        <f>IFERROR(IF(MAXIFS('Money Out'!B:B,'Money Out'!J:J,A45)=0,"",MAXIFS('Money Out'!B:B,'Money Out'!J:J,A45)),"")</f>
        <v/>
      </c>
      <c r="G45" s="5">
        <f>IF(A45="","",COUNTIF('Money Out'!J:J,A45))</f>
        <v/>
      </c>
    </row>
    <row r="46">
      <c r="E46" s="5">
        <f>IFERROR(SUMIFS('Money Out'!F:F,'Money Out'!J:J,A46),0)</f>
        <v/>
      </c>
      <c r="F46" s="5">
        <f>IFERROR(IF(MAXIFS('Money Out'!B:B,'Money Out'!J:J,A46)=0,"",MAXIFS('Money Out'!B:B,'Money Out'!J:J,A46)),"")</f>
        <v/>
      </c>
      <c r="G46" s="5">
        <f>IF(A46="","",COUNTIF('Money Out'!J:J,A46))</f>
        <v/>
      </c>
    </row>
    <row r="47">
      <c r="E47" s="5">
        <f>IFERROR(SUMIFS('Money Out'!F:F,'Money Out'!J:J,A47),0)</f>
        <v/>
      </c>
      <c r="F47" s="5">
        <f>IFERROR(IF(MAXIFS('Money Out'!B:B,'Money Out'!J:J,A47)=0,"",MAXIFS('Money Out'!B:B,'Money Out'!J:J,A47)),"")</f>
        <v/>
      </c>
      <c r="G47" s="5">
        <f>IF(A47="","",COUNTIF('Money Out'!J:J,A47))</f>
        <v/>
      </c>
    </row>
    <row r="48">
      <c r="E48" s="5">
        <f>IFERROR(SUMIFS('Money Out'!F:F,'Money Out'!J:J,A48),0)</f>
        <v/>
      </c>
      <c r="F48" s="5">
        <f>IFERROR(IF(MAXIFS('Money Out'!B:B,'Money Out'!J:J,A48)=0,"",MAXIFS('Money Out'!B:B,'Money Out'!J:J,A48)),"")</f>
        <v/>
      </c>
      <c r="G48" s="5">
        <f>IF(A48="","",COUNTIF('Money Out'!J:J,A48))</f>
        <v/>
      </c>
    </row>
    <row r="49">
      <c r="E49" s="5">
        <f>IFERROR(SUMIFS('Money Out'!F:F,'Money Out'!J:J,A49),0)</f>
        <v/>
      </c>
      <c r="F49" s="5">
        <f>IFERROR(IF(MAXIFS('Money Out'!B:B,'Money Out'!J:J,A49)=0,"",MAXIFS('Money Out'!B:B,'Money Out'!J:J,A49)),"")</f>
        <v/>
      </c>
      <c r="G49" s="5">
        <f>IF(A49="","",COUNTIF('Money Out'!J:J,A49))</f>
        <v/>
      </c>
    </row>
    <row r="50">
      <c r="E50" s="5">
        <f>IFERROR(SUMIFS('Money Out'!F:F,'Money Out'!J:J,A50),0)</f>
        <v/>
      </c>
      <c r="F50" s="5">
        <f>IFERROR(IF(MAXIFS('Money Out'!B:B,'Money Out'!J:J,A50)=0,"",MAXIFS('Money Out'!B:B,'Money Out'!J:J,A50)),"")</f>
        <v/>
      </c>
      <c r="G50" s="5">
        <f>IF(A50="","",COUNTIF('Money Out'!J:J,A50))</f>
        <v/>
      </c>
    </row>
    <row r="51">
      <c r="E51" s="5">
        <f>IFERROR(SUMIFS('Money Out'!F:F,'Money Out'!J:J,A51),0)</f>
        <v/>
      </c>
      <c r="F51" s="5">
        <f>IFERROR(IF(MAXIFS('Money Out'!B:B,'Money Out'!J:J,A51)=0,"",MAXIFS('Money Out'!B:B,'Money Out'!J:J,A51)),"")</f>
        <v/>
      </c>
      <c r="G51" s="5">
        <f>IF(A51="","",COUNTIF('Money Out'!J:J,A51))</f>
        <v/>
      </c>
    </row>
    <row r="52">
      <c r="E52" s="5">
        <f>IFERROR(SUMIFS('Money Out'!F:F,'Money Out'!J:J,A52),0)</f>
        <v/>
      </c>
      <c r="F52" s="5">
        <f>IFERROR(IF(MAXIFS('Money Out'!B:B,'Money Out'!J:J,A52)=0,"",MAXIFS('Money Out'!B:B,'Money Out'!J:J,A52)),"")</f>
        <v/>
      </c>
      <c r="G52" s="5">
        <f>IF(A52="","",COUNTIF('Money Out'!J:J,A52))</f>
        <v/>
      </c>
    </row>
    <row r="53">
      <c r="E53" s="5">
        <f>IFERROR(SUMIFS('Money Out'!F:F,'Money Out'!J:J,A53),0)</f>
        <v/>
      </c>
      <c r="F53" s="5">
        <f>IFERROR(IF(MAXIFS('Money Out'!B:B,'Money Out'!J:J,A53)=0,"",MAXIFS('Money Out'!B:B,'Money Out'!J:J,A53)),"")</f>
        <v/>
      </c>
      <c r="G53" s="5">
        <f>IF(A53="","",COUNTIF('Money Out'!J:J,A53))</f>
        <v/>
      </c>
    </row>
    <row r="54">
      <c r="E54" s="5">
        <f>IFERROR(SUMIFS('Money Out'!F:F,'Money Out'!J:J,A54),0)</f>
        <v/>
      </c>
      <c r="F54" s="5">
        <f>IFERROR(IF(MAXIFS('Money Out'!B:B,'Money Out'!J:J,A54)=0,"",MAXIFS('Money Out'!B:B,'Money Out'!J:J,A54)),"")</f>
        <v/>
      </c>
      <c r="G54" s="5">
        <f>IF(A54="","",COUNTIF('Money Out'!J:J,A54))</f>
        <v/>
      </c>
    </row>
    <row r="55">
      <c r="E55" s="5">
        <f>IFERROR(SUMIFS('Money Out'!F:F,'Money Out'!J:J,A55),0)</f>
        <v/>
      </c>
      <c r="F55" s="5">
        <f>IFERROR(IF(MAXIFS('Money Out'!B:B,'Money Out'!J:J,A55)=0,"",MAXIFS('Money Out'!B:B,'Money Out'!J:J,A55)),"")</f>
        <v/>
      </c>
      <c r="G55" s="5">
        <f>IF(A55="","",COUNTIF('Money Out'!J:J,A55))</f>
        <v/>
      </c>
    </row>
    <row r="56">
      <c r="E56" s="5">
        <f>IFERROR(SUMIFS('Money Out'!F:F,'Money Out'!J:J,A56),0)</f>
        <v/>
      </c>
      <c r="F56" s="5">
        <f>IFERROR(IF(MAXIFS('Money Out'!B:B,'Money Out'!J:J,A56)=0,"",MAXIFS('Money Out'!B:B,'Money Out'!J:J,A56)),"")</f>
        <v/>
      </c>
      <c r="G56" s="5">
        <f>IF(A56="","",COUNTIF('Money Out'!J:J,A56))</f>
        <v/>
      </c>
    </row>
    <row r="57">
      <c r="E57" s="5">
        <f>IFERROR(SUMIFS('Money Out'!F:F,'Money Out'!J:J,A57),0)</f>
        <v/>
      </c>
      <c r="F57" s="5">
        <f>IFERROR(IF(MAXIFS('Money Out'!B:B,'Money Out'!J:J,A57)=0,"",MAXIFS('Money Out'!B:B,'Money Out'!J:J,A57)),"")</f>
        <v/>
      </c>
      <c r="G57" s="5">
        <f>IF(A57="","",COUNTIF('Money Out'!J:J,A57))</f>
        <v/>
      </c>
    </row>
    <row r="58">
      <c r="E58" s="5">
        <f>IFERROR(SUMIFS('Money Out'!F:F,'Money Out'!J:J,A58),0)</f>
        <v/>
      </c>
      <c r="F58" s="5">
        <f>IFERROR(IF(MAXIFS('Money Out'!B:B,'Money Out'!J:J,A58)=0,"",MAXIFS('Money Out'!B:B,'Money Out'!J:J,A58)),"")</f>
        <v/>
      </c>
      <c r="G58" s="5">
        <f>IF(A58="","",COUNTIF('Money Out'!J:J,A58))</f>
        <v/>
      </c>
    </row>
    <row r="59">
      <c r="E59" s="5">
        <f>IFERROR(SUMIFS('Money Out'!F:F,'Money Out'!J:J,A59),0)</f>
        <v/>
      </c>
      <c r="F59" s="5">
        <f>IFERROR(IF(MAXIFS('Money Out'!B:B,'Money Out'!J:J,A59)=0,"",MAXIFS('Money Out'!B:B,'Money Out'!J:J,A59)),"")</f>
        <v/>
      </c>
      <c r="G59" s="5">
        <f>IF(A59="","",COUNTIF('Money Out'!J:J,A59))</f>
        <v/>
      </c>
    </row>
    <row r="60">
      <c r="E60" s="5">
        <f>IFERROR(SUMIFS('Money Out'!F:F,'Money Out'!J:J,A60),0)</f>
        <v/>
      </c>
      <c r="F60" s="5">
        <f>IFERROR(IF(MAXIFS('Money Out'!B:B,'Money Out'!J:J,A60)=0,"",MAXIFS('Money Out'!B:B,'Money Out'!J:J,A60)),"")</f>
        <v/>
      </c>
      <c r="G60" s="5">
        <f>IF(A60="","",COUNTIF('Money Out'!J:J,A60))</f>
        <v/>
      </c>
    </row>
    <row r="61">
      <c r="E61" s="5">
        <f>IFERROR(SUMIFS('Money Out'!F:F,'Money Out'!J:J,A61),0)</f>
        <v/>
      </c>
      <c r="F61" s="5">
        <f>IFERROR(IF(MAXIFS('Money Out'!B:B,'Money Out'!J:J,A61)=0,"",MAXIFS('Money Out'!B:B,'Money Out'!J:J,A61)),"")</f>
        <v/>
      </c>
      <c r="G61" s="5">
        <f>IF(A61="","",COUNTIF('Money Out'!J:J,A61))</f>
        <v/>
      </c>
    </row>
    <row r="62">
      <c r="E62" s="5">
        <f>IFERROR(SUMIFS('Money Out'!F:F,'Money Out'!J:J,A62),0)</f>
        <v/>
      </c>
      <c r="F62" s="5">
        <f>IFERROR(IF(MAXIFS('Money Out'!B:B,'Money Out'!J:J,A62)=0,"",MAXIFS('Money Out'!B:B,'Money Out'!J:J,A62)),"")</f>
        <v/>
      </c>
      <c r="G62" s="5">
        <f>IF(A62="","",COUNTIF('Money Out'!J:J,A62))</f>
        <v/>
      </c>
    </row>
    <row r="63">
      <c r="E63" s="5">
        <f>IFERROR(SUMIFS('Money Out'!F:F,'Money Out'!J:J,A63),0)</f>
        <v/>
      </c>
      <c r="F63" s="5">
        <f>IFERROR(IF(MAXIFS('Money Out'!B:B,'Money Out'!J:J,A63)=0,"",MAXIFS('Money Out'!B:B,'Money Out'!J:J,A63)),"")</f>
        <v/>
      </c>
      <c r="G63" s="5">
        <f>IF(A63="","",COUNTIF('Money Out'!J:J,A63))</f>
        <v/>
      </c>
    </row>
    <row r="64">
      <c r="E64" s="5">
        <f>IFERROR(SUMIFS('Money Out'!F:F,'Money Out'!J:J,A64),0)</f>
        <v/>
      </c>
      <c r="F64" s="5">
        <f>IFERROR(IF(MAXIFS('Money Out'!B:B,'Money Out'!J:J,A64)=0,"",MAXIFS('Money Out'!B:B,'Money Out'!J:J,A64)),"")</f>
        <v/>
      </c>
      <c r="G64" s="5">
        <f>IF(A64="","",COUNTIF('Money Out'!J:J,A64))</f>
        <v/>
      </c>
    </row>
    <row r="65">
      <c r="E65" s="5">
        <f>IFERROR(SUMIFS('Money Out'!F:F,'Money Out'!J:J,A65),0)</f>
        <v/>
      </c>
      <c r="F65" s="5">
        <f>IFERROR(IF(MAXIFS('Money Out'!B:B,'Money Out'!J:J,A65)=0,"",MAXIFS('Money Out'!B:B,'Money Out'!J:J,A65)),"")</f>
        <v/>
      </c>
      <c r="G65" s="5">
        <f>IF(A65="","",COUNTIF('Money Out'!J:J,A65))</f>
        <v/>
      </c>
    </row>
    <row r="66">
      <c r="E66" s="5">
        <f>IFERROR(SUMIFS('Money Out'!F:F,'Money Out'!J:J,A66),0)</f>
        <v/>
      </c>
      <c r="F66" s="5">
        <f>IFERROR(IF(MAXIFS('Money Out'!B:B,'Money Out'!J:J,A66)=0,"",MAXIFS('Money Out'!B:B,'Money Out'!J:J,A66)),"")</f>
        <v/>
      </c>
      <c r="G66" s="5">
        <f>IF(A66="","",COUNTIF('Money Out'!J:J,A66))</f>
        <v/>
      </c>
    </row>
    <row r="67">
      <c r="E67" s="5">
        <f>IFERROR(SUMIFS('Money Out'!F:F,'Money Out'!J:J,A67),0)</f>
        <v/>
      </c>
      <c r="F67" s="5">
        <f>IFERROR(IF(MAXIFS('Money Out'!B:B,'Money Out'!J:J,A67)=0,"",MAXIFS('Money Out'!B:B,'Money Out'!J:J,A67)),"")</f>
        <v/>
      </c>
      <c r="G67" s="5">
        <f>IF(A67="","",COUNTIF('Money Out'!J:J,A67))</f>
        <v/>
      </c>
    </row>
    <row r="68">
      <c r="E68" s="5">
        <f>IFERROR(SUMIFS('Money Out'!F:F,'Money Out'!J:J,A68),0)</f>
        <v/>
      </c>
      <c r="F68" s="5">
        <f>IFERROR(IF(MAXIFS('Money Out'!B:B,'Money Out'!J:J,A68)=0,"",MAXIFS('Money Out'!B:B,'Money Out'!J:J,A68)),"")</f>
        <v/>
      </c>
      <c r="G68" s="5">
        <f>IF(A68="","",COUNTIF('Money Out'!J:J,A68))</f>
        <v/>
      </c>
    </row>
    <row r="69">
      <c r="E69" s="5">
        <f>IFERROR(SUMIFS('Money Out'!F:F,'Money Out'!J:J,A69),0)</f>
        <v/>
      </c>
      <c r="F69" s="5">
        <f>IFERROR(IF(MAXIFS('Money Out'!B:B,'Money Out'!J:J,A69)=0,"",MAXIFS('Money Out'!B:B,'Money Out'!J:J,A69)),"")</f>
        <v/>
      </c>
      <c r="G69" s="5">
        <f>IF(A69="","",COUNTIF('Money Out'!J:J,A69))</f>
        <v/>
      </c>
    </row>
    <row r="70">
      <c r="E70" s="5">
        <f>IFERROR(SUMIFS('Money Out'!F:F,'Money Out'!J:J,A70),0)</f>
        <v/>
      </c>
      <c r="F70" s="5">
        <f>IFERROR(IF(MAXIFS('Money Out'!B:B,'Money Out'!J:J,A70)=0,"",MAXIFS('Money Out'!B:B,'Money Out'!J:J,A70)),"")</f>
        <v/>
      </c>
      <c r="G70" s="5">
        <f>IF(A70="","",COUNTIF('Money Out'!J:J,A70))</f>
        <v/>
      </c>
    </row>
    <row r="71">
      <c r="E71" s="5">
        <f>IFERROR(SUMIFS('Money Out'!F:F,'Money Out'!J:J,A71),0)</f>
        <v/>
      </c>
      <c r="F71" s="5">
        <f>IFERROR(IF(MAXIFS('Money Out'!B:B,'Money Out'!J:J,A71)=0,"",MAXIFS('Money Out'!B:B,'Money Out'!J:J,A71)),"")</f>
        <v/>
      </c>
      <c r="G71" s="5">
        <f>IF(A71="","",COUNTIF('Money Out'!J:J,A71))</f>
        <v/>
      </c>
    </row>
    <row r="72">
      <c r="E72" s="5">
        <f>IFERROR(SUMIFS('Money Out'!F:F,'Money Out'!J:J,A72),0)</f>
        <v/>
      </c>
      <c r="F72" s="5">
        <f>IFERROR(IF(MAXIFS('Money Out'!B:B,'Money Out'!J:J,A72)=0,"",MAXIFS('Money Out'!B:B,'Money Out'!J:J,A72)),"")</f>
        <v/>
      </c>
      <c r="G72" s="5">
        <f>IF(A72="","",COUNTIF('Money Out'!J:J,A72))</f>
        <v/>
      </c>
    </row>
    <row r="73">
      <c r="E73" s="5">
        <f>IFERROR(SUMIFS('Money Out'!F:F,'Money Out'!J:J,A73),0)</f>
        <v/>
      </c>
      <c r="F73" s="5">
        <f>IFERROR(IF(MAXIFS('Money Out'!B:B,'Money Out'!J:J,A73)=0,"",MAXIFS('Money Out'!B:B,'Money Out'!J:J,A73)),"")</f>
        <v/>
      </c>
      <c r="G73" s="5">
        <f>IF(A73="","",COUNTIF('Money Out'!J:J,A73))</f>
        <v/>
      </c>
    </row>
    <row r="74">
      <c r="E74" s="5">
        <f>IFERROR(SUMIFS('Money Out'!F:F,'Money Out'!J:J,A74),0)</f>
        <v/>
      </c>
      <c r="F74" s="5">
        <f>IFERROR(IF(MAXIFS('Money Out'!B:B,'Money Out'!J:J,A74)=0,"",MAXIFS('Money Out'!B:B,'Money Out'!J:J,A74)),"")</f>
        <v/>
      </c>
      <c r="G74" s="5">
        <f>IF(A74="","",COUNTIF('Money Out'!J:J,A74))</f>
        <v/>
      </c>
    </row>
    <row r="75">
      <c r="E75" s="5">
        <f>IFERROR(SUMIFS('Money Out'!F:F,'Money Out'!J:J,A75),0)</f>
        <v/>
      </c>
      <c r="F75" s="5">
        <f>IFERROR(IF(MAXIFS('Money Out'!B:B,'Money Out'!J:J,A75)=0,"",MAXIFS('Money Out'!B:B,'Money Out'!J:J,A75)),"")</f>
        <v/>
      </c>
      <c r="G75" s="5">
        <f>IF(A75="","",COUNTIF('Money Out'!J:J,A75))</f>
        <v/>
      </c>
    </row>
    <row r="76">
      <c r="E76" s="5">
        <f>IFERROR(SUMIFS('Money Out'!F:F,'Money Out'!J:J,A76),0)</f>
        <v/>
      </c>
      <c r="F76" s="5">
        <f>IFERROR(IF(MAXIFS('Money Out'!B:B,'Money Out'!J:J,A76)=0,"",MAXIFS('Money Out'!B:B,'Money Out'!J:J,A76)),"")</f>
        <v/>
      </c>
      <c r="G76" s="5">
        <f>IF(A76="","",COUNTIF('Money Out'!J:J,A76))</f>
        <v/>
      </c>
    </row>
    <row r="77">
      <c r="E77" s="5">
        <f>IFERROR(SUMIFS('Money Out'!F:F,'Money Out'!J:J,A77),0)</f>
        <v/>
      </c>
      <c r="F77" s="5">
        <f>IFERROR(IF(MAXIFS('Money Out'!B:B,'Money Out'!J:J,A77)=0,"",MAXIFS('Money Out'!B:B,'Money Out'!J:J,A77)),"")</f>
        <v/>
      </c>
      <c r="G77" s="5">
        <f>IF(A77="","",COUNTIF('Money Out'!J:J,A77))</f>
        <v/>
      </c>
    </row>
    <row r="78">
      <c r="E78" s="5">
        <f>IFERROR(SUMIFS('Money Out'!F:F,'Money Out'!J:J,A78),0)</f>
        <v/>
      </c>
      <c r="F78" s="5">
        <f>IFERROR(IF(MAXIFS('Money Out'!B:B,'Money Out'!J:J,A78)=0,"",MAXIFS('Money Out'!B:B,'Money Out'!J:J,A78)),"")</f>
        <v/>
      </c>
      <c r="G78" s="5">
        <f>IF(A78="","",COUNTIF('Money Out'!J:J,A78))</f>
        <v/>
      </c>
    </row>
    <row r="79">
      <c r="E79" s="5">
        <f>IFERROR(SUMIFS('Money Out'!F:F,'Money Out'!J:J,A79),0)</f>
        <v/>
      </c>
      <c r="F79" s="5">
        <f>IFERROR(IF(MAXIFS('Money Out'!B:B,'Money Out'!J:J,A79)=0,"",MAXIFS('Money Out'!B:B,'Money Out'!J:J,A79)),"")</f>
        <v/>
      </c>
      <c r="G79" s="5">
        <f>IF(A79="","",COUNTIF('Money Out'!J:J,A79))</f>
        <v/>
      </c>
    </row>
    <row r="80">
      <c r="E80" s="5">
        <f>IFERROR(SUMIFS('Money Out'!F:F,'Money Out'!J:J,A80),0)</f>
        <v/>
      </c>
      <c r="F80" s="5">
        <f>IFERROR(IF(MAXIFS('Money Out'!B:B,'Money Out'!J:J,A80)=0,"",MAXIFS('Money Out'!B:B,'Money Out'!J:J,A80)),"")</f>
        <v/>
      </c>
      <c r="G80" s="5">
        <f>IF(A80="","",COUNTIF('Money Out'!J:J,A80))</f>
        <v/>
      </c>
    </row>
    <row r="81">
      <c r="E81" s="5">
        <f>IFERROR(SUMIFS('Money Out'!F:F,'Money Out'!J:J,A81),0)</f>
        <v/>
      </c>
      <c r="F81" s="5">
        <f>IFERROR(IF(MAXIFS('Money Out'!B:B,'Money Out'!J:J,A81)=0,"",MAXIFS('Money Out'!B:B,'Money Out'!J:J,A81)),"")</f>
        <v/>
      </c>
      <c r="G81" s="5">
        <f>IF(A81="","",COUNTIF('Money Out'!J:J,A81))</f>
        <v/>
      </c>
    </row>
    <row r="82">
      <c r="E82" s="5">
        <f>IFERROR(SUMIFS('Money Out'!F:F,'Money Out'!J:J,A82),0)</f>
        <v/>
      </c>
      <c r="F82" s="5">
        <f>IFERROR(IF(MAXIFS('Money Out'!B:B,'Money Out'!J:J,A82)=0,"",MAXIFS('Money Out'!B:B,'Money Out'!J:J,A82)),"")</f>
        <v/>
      </c>
      <c r="G82" s="5">
        <f>IF(A82="","",COUNTIF('Money Out'!J:J,A82))</f>
        <v/>
      </c>
    </row>
    <row r="83">
      <c r="E83" s="5">
        <f>IFERROR(SUMIFS('Money Out'!F:F,'Money Out'!J:J,A83),0)</f>
        <v/>
      </c>
      <c r="F83" s="5">
        <f>IFERROR(IF(MAXIFS('Money Out'!B:B,'Money Out'!J:J,A83)=0,"",MAXIFS('Money Out'!B:B,'Money Out'!J:J,A83)),"")</f>
        <v/>
      </c>
      <c r="G83" s="5">
        <f>IF(A83="","",COUNTIF('Money Out'!J:J,A83))</f>
        <v/>
      </c>
    </row>
    <row r="84">
      <c r="E84" s="5">
        <f>IFERROR(SUMIFS('Money Out'!F:F,'Money Out'!J:J,A84),0)</f>
        <v/>
      </c>
      <c r="F84" s="5">
        <f>IFERROR(IF(MAXIFS('Money Out'!B:B,'Money Out'!J:J,A84)=0,"",MAXIFS('Money Out'!B:B,'Money Out'!J:J,A84)),"")</f>
        <v/>
      </c>
      <c r="G84" s="5">
        <f>IF(A84="","",COUNTIF('Money Out'!J:J,A84))</f>
        <v/>
      </c>
    </row>
    <row r="85">
      <c r="E85" s="5">
        <f>IFERROR(SUMIFS('Money Out'!F:F,'Money Out'!J:J,A85),0)</f>
        <v/>
      </c>
      <c r="F85" s="5">
        <f>IFERROR(IF(MAXIFS('Money Out'!B:B,'Money Out'!J:J,A85)=0,"",MAXIFS('Money Out'!B:B,'Money Out'!J:J,A85)),"")</f>
        <v/>
      </c>
      <c r="G85" s="5">
        <f>IF(A85="","",COUNTIF('Money Out'!J:J,A85))</f>
        <v/>
      </c>
    </row>
    <row r="86">
      <c r="E86" s="5">
        <f>IFERROR(SUMIFS('Money Out'!F:F,'Money Out'!J:J,A86),0)</f>
        <v/>
      </c>
      <c r="F86" s="5">
        <f>IFERROR(IF(MAXIFS('Money Out'!B:B,'Money Out'!J:J,A86)=0,"",MAXIFS('Money Out'!B:B,'Money Out'!J:J,A86)),"")</f>
        <v/>
      </c>
      <c r="G86" s="5">
        <f>IF(A86="","",COUNTIF('Money Out'!J:J,A86))</f>
        <v/>
      </c>
    </row>
    <row r="87">
      <c r="E87" s="5">
        <f>IFERROR(SUMIFS('Money Out'!F:F,'Money Out'!J:J,A87),0)</f>
        <v/>
      </c>
      <c r="F87" s="5">
        <f>IFERROR(IF(MAXIFS('Money Out'!B:B,'Money Out'!J:J,A87)=0,"",MAXIFS('Money Out'!B:B,'Money Out'!J:J,A87)),"")</f>
        <v/>
      </c>
      <c r="G87" s="5">
        <f>IF(A87="","",COUNTIF('Money Out'!J:J,A87))</f>
        <v/>
      </c>
    </row>
    <row r="88">
      <c r="E88" s="5">
        <f>IFERROR(SUMIFS('Money Out'!F:F,'Money Out'!J:J,A88),0)</f>
        <v/>
      </c>
      <c r="F88" s="5">
        <f>IFERROR(IF(MAXIFS('Money Out'!B:B,'Money Out'!J:J,A88)=0,"",MAXIFS('Money Out'!B:B,'Money Out'!J:J,A88)),"")</f>
        <v/>
      </c>
      <c r="G88" s="5">
        <f>IF(A88="","",COUNTIF('Money Out'!J:J,A88))</f>
        <v/>
      </c>
    </row>
    <row r="89">
      <c r="E89" s="5">
        <f>IFERROR(SUMIFS('Money Out'!F:F,'Money Out'!J:J,A89),0)</f>
        <v/>
      </c>
      <c r="F89" s="5">
        <f>IFERROR(IF(MAXIFS('Money Out'!B:B,'Money Out'!J:J,A89)=0,"",MAXIFS('Money Out'!B:B,'Money Out'!J:J,A89)),"")</f>
        <v/>
      </c>
      <c r="G89" s="5">
        <f>IF(A89="","",COUNTIF('Money Out'!J:J,A89))</f>
        <v/>
      </c>
    </row>
    <row r="90">
      <c r="E90" s="5">
        <f>IFERROR(SUMIFS('Money Out'!F:F,'Money Out'!J:J,A90),0)</f>
        <v/>
      </c>
      <c r="F90" s="5">
        <f>IFERROR(IF(MAXIFS('Money Out'!B:B,'Money Out'!J:J,A90)=0,"",MAXIFS('Money Out'!B:B,'Money Out'!J:J,A90)),"")</f>
        <v/>
      </c>
      <c r="G90" s="5">
        <f>IF(A90="","",COUNTIF('Money Out'!J:J,A90))</f>
        <v/>
      </c>
    </row>
    <row r="91">
      <c r="E91" s="5">
        <f>IFERROR(SUMIFS('Money Out'!F:F,'Money Out'!J:J,A91),0)</f>
        <v/>
      </c>
      <c r="F91" s="5">
        <f>IFERROR(IF(MAXIFS('Money Out'!B:B,'Money Out'!J:J,A91)=0,"",MAXIFS('Money Out'!B:B,'Money Out'!J:J,A91)),"")</f>
        <v/>
      </c>
      <c r="G91" s="5">
        <f>IF(A91="","",COUNTIF('Money Out'!J:J,A91))</f>
        <v/>
      </c>
    </row>
    <row r="92">
      <c r="E92" s="5">
        <f>IFERROR(SUMIFS('Money Out'!F:F,'Money Out'!J:J,A92),0)</f>
        <v/>
      </c>
      <c r="F92" s="5">
        <f>IFERROR(IF(MAXIFS('Money Out'!B:B,'Money Out'!J:J,A92)=0,"",MAXIFS('Money Out'!B:B,'Money Out'!J:J,A92)),"")</f>
        <v/>
      </c>
      <c r="G92" s="5">
        <f>IF(A92="","",COUNTIF('Money Out'!J:J,A92))</f>
        <v/>
      </c>
    </row>
    <row r="93">
      <c r="E93" s="5">
        <f>IFERROR(SUMIFS('Money Out'!F:F,'Money Out'!J:J,A93),0)</f>
        <v/>
      </c>
      <c r="F93" s="5">
        <f>IFERROR(IF(MAXIFS('Money Out'!B:B,'Money Out'!J:J,A93)=0,"",MAXIFS('Money Out'!B:B,'Money Out'!J:J,A93)),"")</f>
        <v/>
      </c>
      <c r="G93" s="5">
        <f>IF(A93="","",COUNTIF('Money Out'!J:J,A93))</f>
        <v/>
      </c>
    </row>
    <row r="94">
      <c r="E94" s="5">
        <f>IFERROR(SUMIFS('Money Out'!F:F,'Money Out'!J:J,A94),0)</f>
        <v/>
      </c>
      <c r="F94" s="5">
        <f>IFERROR(IF(MAXIFS('Money Out'!B:B,'Money Out'!J:J,A94)=0,"",MAXIFS('Money Out'!B:B,'Money Out'!J:J,A94)),"")</f>
        <v/>
      </c>
      <c r="G94" s="5">
        <f>IF(A94="","",COUNTIF('Money Out'!J:J,A94))</f>
        <v/>
      </c>
    </row>
    <row r="95">
      <c r="E95" s="5">
        <f>IFERROR(SUMIFS('Money Out'!F:F,'Money Out'!J:J,A95),0)</f>
        <v/>
      </c>
      <c r="F95" s="5">
        <f>IFERROR(IF(MAXIFS('Money Out'!B:B,'Money Out'!J:J,A95)=0,"",MAXIFS('Money Out'!B:B,'Money Out'!J:J,A95)),"")</f>
        <v/>
      </c>
      <c r="G95" s="5">
        <f>IF(A95="","",COUNTIF('Money Out'!J:J,A95))</f>
        <v/>
      </c>
    </row>
    <row r="96">
      <c r="E96" s="5">
        <f>IFERROR(SUMIFS('Money Out'!F:F,'Money Out'!J:J,A96),0)</f>
        <v/>
      </c>
      <c r="F96" s="5">
        <f>IFERROR(IF(MAXIFS('Money Out'!B:B,'Money Out'!J:J,A96)=0,"",MAXIFS('Money Out'!B:B,'Money Out'!J:J,A96)),"")</f>
        <v/>
      </c>
      <c r="G96" s="5">
        <f>IF(A96="","",COUNTIF('Money Out'!J:J,A96))</f>
        <v/>
      </c>
    </row>
    <row r="97">
      <c r="E97" s="5">
        <f>IFERROR(SUMIFS('Money Out'!F:F,'Money Out'!J:J,A97),0)</f>
        <v/>
      </c>
      <c r="F97" s="5">
        <f>IFERROR(IF(MAXIFS('Money Out'!B:B,'Money Out'!J:J,A97)=0,"",MAXIFS('Money Out'!B:B,'Money Out'!J:J,A97)),"")</f>
        <v/>
      </c>
      <c r="G97" s="5">
        <f>IF(A97="","",COUNTIF('Money Out'!J:J,A97))</f>
        <v/>
      </c>
    </row>
    <row r="98">
      <c r="E98" s="5">
        <f>IFERROR(SUMIFS('Money Out'!F:F,'Money Out'!J:J,A98),0)</f>
        <v/>
      </c>
      <c r="F98" s="5">
        <f>IFERROR(IF(MAXIFS('Money Out'!B:B,'Money Out'!J:J,A98)=0,"",MAXIFS('Money Out'!B:B,'Money Out'!J:J,A98)),"")</f>
        <v/>
      </c>
      <c r="G98" s="5">
        <f>IF(A98="","",COUNTIF('Money Out'!J:J,A98))</f>
        <v/>
      </c>
    </row>
    <row r="99">
      <c r="E99" s="5">
        <f>IFERROR(SUMIFS('Money Out'!F:F,'Money Out'!J:J,A99),0)</f>
        <v/>
      </c>
      <c r="F99" s="5">
        <f>IFERROR(IF(MAXIFS('Money Out'!B:B,'Money Out'!J:J,A99)=0,"",MAXIFS('Money Out'!B:B,'Money Out'!J:J,A99)),"")</f>
        <v/>
      </c>
      <c r="G99" s="5">
        <f>IF(A99="","",COUNTIF('Money Out'!J:J,A99))</f>
        <v/>
      </c>
    </row>
    <row r="100">
      <c r="E100" s="5">
        <f>IFERROR(SUMIFS('Money Out'!F:F,'Money Out'!J:J,A100),0)</f>
        <v/>
      </c>
      <c r="F100" s="5">
        <f>IFERROR(IF(MAXIFS('Money Out'!B:B,'Money Out'!J:J,A100)=0,"",MAXIFS('Money Out'!B:B,'Money Out'!J:J,A100)),"")</f>
        <v/>
      </c>
      <c r="G100" s="5">
        <f>IF(A100="","",COUNTIF('Money Out'!J:J,A100))</f>
        <v/>
      </c>
    </row>
    <row r="101">
      <c r="E101" s="5">
        <f>IFERROR(SUMIFS('Money Out'!F:F,'Money Out'!J:J,A101),0)</f>
        <v/>
      </c>
      <c r="F101" s="5">
        <f>IFERROR(IF(MAXIFS('Money Out'!B:B,'Money Out'!J:J,A101)=0,"",MAXIFS('Money Out'!B:B,'Money Out'!J:J,A101)),"")</f>
        <v/>
      </c>
      <c r="G101" s="5">
        <f>IF(A101="","",COUNTIF('Money Out'!J:J,A101))</f>
        <v/>
      </c>
    </row>
  </sheetData>
  <dataValidations count="2">
    <dataValidation sqref="B2:B1000" showDropDown="0" showInputMessage="0" showErrorMessage="0" allowBlank="1" type="list">
      <formula1>"Ingredient supplier,Packaging,Utility,Service,Capex supplier,Delivery partner,Other"</formula1>
    </dataValidation>
    <dataValidation sqref="C2:C1000" showDropDown="0" showInputMessage="0" showErrorMessage="0" allowBlank="1" type="list">
      <formula1>"UPI-GPay,UPI-PhonePe,Bank Transfer,Cash"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11" t="inlineStr">
        <is>
          <t>Line item</t>
        </is>
      </c>
      <c r="B1" s="11" t="inlineStr">
        <is>
          <t>2026-05</t>
        </is>
      </c>
      <c r="C1" s="11" t="inlineStr">
        <is>
          <t>2026-06</t>
        </is>
      </c>
      <c r="D1" s="11" t="inlineStr">
        <is>
          <t>2026-07</t>
        </is>
      </c>
      <c r="E1" s="11" t="inlineStr">
        <is>
          <t>2026-08</t>
        </is>
      </c>
      <c r="F1" s="11" t="inlineStr">
        <is>
          <t>2026-09</t>
        </is>
      </c>
      <c r="G1" s="11" t="inlineStr">
        <is>
          <t>2026-10</t>
        </is>
      </c>
      <c r="H1" s="11" t="inlineStr">
        <is>
          <t>2026-11</t>
        </is>
      </c>
      <c r="I1" s="11" t="inlineStr">
        <is>
          <t>2026-12</t>
        </is>
      </c>
      <c r="J1" s="11" t="inlineStr">
        <is>
          <t>2027-01</t>
        </is>
      </c>
      <c r="K1" s="11" t="inlineStr">
        <is>
          <t>2027-02</t>
        </is>
      </c>
      <c r="L1" s="11" t="inlineStr">
        <is>
          <t>2027-03</t>
        </is>
      </c>
      <c r="M1" s="11" t="inlineStr">
        <is>
          <t>2027-04</t>
        </is>
      </c>
    </row>
    <row r="2">
      <c r="A2" s="12" t="inlineStr">
        <is>
          <t>REVENUE</t>
        </is>
      </c>
    </row>
    <row r="3">
      <c r="A3" t="inlineStr">
        <is>
          <t>Gross revenue (orders)</t>
        </is>
      </c>
      <c r="B3" s="5">
        <f>SUMIFS('Money In'!F:F,'Money In'!J:J,"&lt;&gt;",'Money In'!B:B,"&gt;="&amp;DATE(2026,5,1),'Money In'!B:B,"&lt;="&amp;DATE(2026,6,1)-1)</f>
        <v/>
      </c>
      <c r="C3" s="5">
        <f>SUMIFS('Money In'!F:F,'Money In'!J:J,"&lt;&gt;",'Money In'!B:B,"&gt;="&amp;DATE(2026,6,1),'Money In'!B:B,"&lt;="&amp;DATE(2026,7,1)-1)</f>
        <v/>
      </c>
      <c r="D3" s="5">
        <f>SUMIFS('Money In'!F:F,'Money In'!J:J,"&lt;&gt;",'Money In'!B:B,"&gt;="&amp;DATE(2026,7,1),'Money In'!B:B,"&lt;="&amp;DATE(2026,8,1)-1)</f>
        <v/>
      </c>
      <c r="E3" s="5">
        <f>SUMIFS('Money In'!F:F,'Money In'!J:J,"&lt;&gt;",'Money In'!B:B,"&gt;="&amp;DATE(2026,8,1),'Money In'!B:B,"&lt;="&amp;DATE(2026,9,1)-1)</f>
        <v/>
      </c>
      <c r="F3" s="5">
        <f>SUMIFS('Money In'!F:F,'Money In'!J:J,"&lt;&gt;",'Money In'!B:B,"&gt;="&amp;DATE(2026,9,1),'Money In'!B:B,"&lt;="&amp;DATE(2026,10,1)-1)</f>
        <v/>
      </c>
      <c r="G3" s="5">
        <f>SUMIFS('Money In'!F:F,'Money In'!J:J,"&lt;&gt;",'Money In'!B:B,"&gt;="&amp;DATE(2026,10,1),'Money In'!B:B,"&lt;="&amp;DATE(2026,11,1)-1)</f>
        <v/>
      </c>
      <c r="H3" s="5">
        <f>SUMIFS('Money In'!F:F,'Money In'!J:J,"&lt;&gt;",'Money In'!B:B,"&gt;="&amp;DATE(2026,11,1),'Money In'!B:B,"&lt;="&amp;DATE(2026,12,1)-1)</f>
        <v/>
      </c>
      <c r="I3" s="5">
        <f>SUMIFS('Money In'!F:F,'Money In'!J:J,"&lt;&gt;",'Money In'!B:B,"&gt;="&amp;DATE(2026,12,1),'Money In'!B:B,"&lt;="&amp;DATE(2027,1,1)-1)</f>
        <v/>
      </c>
      <c r="J3" s="5">
        <f>SUMIFS('Money In'!F:F,'Money In'!J:J,"&lt;&gt;",'Money In'!B:B,"&gt;="&amp;DATE(2027,1,1),'Money In'!B:B,"&lt;="&amp;DATE(2027,2,1)-1)</f>
        <v/>
      </c>
      <c r="K3" s="5">
        <f>SUMIFS('Money In'!F:F,'Money In'!J:J,"&lt;&gt;",'Money In'!B:B,"&gt;="&amp;DATE(2027,2,1),'Money In'!B:B,"&lt;="&amp;DATE(2027,3,1)-1)</f>
        <v/>
      </c>
      <c r="L3" s="5">
        <f>SUMIFS('Money In'!F:F,'Money In'!J:J,"&lt;&gt;",'Money In'!B:B,"&gt;="&amp;DATE(2027,3,1),'Money In'!B:B,"&lt;="&amp;DATE(2027,4,1)-1)</f>
        <v/>
      </c>
      <c r="M3" s="5">
        <f>SUMIFS('Money In'!F:F,'Money In'!J:J,"&lt;&gt;",'Money In'!B:B,"&gt;="&amp;DATE(2027,4,1),'Money In'!B:B,"&lt;="&amp;DATE(2027,5,1)-1)</f>
        <v/>
      </c>
    </row>
    <row r="4">
      <c r="A4" t="inlineStr">
        <is>
          <t>Other inflows (unmatched / refunds)</t>
        </is>
      </c>
      <c r="B4" s="5">
        <f>SUMIFS('Money In'!F:F,'Money In'!J:J,"",'Money In'!B:B,"&gt;="&amp;DATE(2026,5,1),'Money In'!B:B,"&lt;="&amp;DATE(2026,6,1)-1)</f>
        <v/>
      </c>
      <c r="C4" s="5">
        <f>SUMIFS('Money In'!F:F,'Money In'!J:J,"",'Money In'!B:B,"&gt;="&amp;DATE(2026,6,1),'Money In'!B:B,"&lt;="&amp;DATE(2026,7,1)-1)</f>
        <v/>
      </c>
      <c r="D4" s="5">
        <f>SUMIFS('Money In'!F:F,'Money In'!J:J,"",'Money In'!B:B,"&gt;="&amp;DATE(2026,7,1),'Money In'!B:B,"&lt;="&amp;DATE(2026,8,1)-1)</f>
        <v/>
      </c>
      <c r="E4" s="5">
        <f>SUMIFS('Money In'!F:F,'Money In'!J:J,"",'Money In'!B:B,"&gt;="&amp;DATE(2026,8,1),'Money In'!B:B,"&lt;="&amp;DATE(2026,9,1)-1)</f>
        <v/>
      </c>
      <c r="F4" s="5">
        <f>SUMIFS('Money In'!F:F,'Money In'!J:J,"",'Money In'!B:B,"&gt;="&amp;DATE(2026,9,1),'Money In'!B:B,"&lt;="&amp;DATE(2026,10,1)-1)</f>
        <v/>
      </c>
      <c r="G4" s="5">
        <f>SUMIFS('Money In'!F:F,'Money In'!J:J,"",'Money In'!B:B,"&gt;="&amp;DATE(2026,10,1),'Money In'!B:B,"&lt;="&amp;DATE(2026,11,1)-1)</f>
        <v/>
      </c>
      <c r="H4" s="5">
        <f>SUMIFS('Money In'!F:F,'Money In'!J:J,"",'Money In'!B:B,"&gt;="&amp;DATE(2026,11,1),'Money In'!B:B,"&lt;="&amp;DATE(2026,12,1)-1)</f>
        <v/>
      </c>
      <c r="I4" s="5">
        <f>SUMIFS('Money In'!F:F,'Money In'!J:J,"",'Money In'!B:B,"&gt;="&amp;DATE(2026,12,1),'Money In'!B:B,"&lt;="&amp;DATE(2027,1,1)-1)</f>
        <v/>
      </c>
      <c r="J4" s="5">
        <f>SUMIFS('Money In'!F:F,'Money In'!J:J,"",'Money In'!B:B,"&gt;="&amp;DATE(2027,1,1),'Money In'!B:B,"&lt;="&amp;DATE(2027,2,1)-1)</f>
        <v/>
      </c>
      <c r="K4" s="5">
        <f>SUMIFS('Money In'!F:F,'Money In'!J:J,"",'Money In'!B:B,"&gt;="&amp;DATE(2027,2,1),'Money In'!B:B,"&lt;="&amp;DATE(2027,3,1)-1)</f>
        <v/>
      </c>
      <c r="L4" s="5">
        <f>SUMIFS('Money In'!F:F,'Money In'!J:J,"",'Money In'!B:B,"&gt;="&amp;DATE(2027,3,1),'Money In'!B:B,"&lt;="&amp;DATE(2027,4,1)-1)</f>
        <v/>
      </c>
      <c r="M4" s="5">
        <f>SUMIFS('Money In'!F:F,'Money In'!J:J,"",'Money In'!B:B,"&gt;="&amp;DATE(2027,4,1),'Money In'!B:B,"&lt;="&amp;DATE(2027,5,1)-1)</f>
        <v/>
      </c>
    </row>
    <row r="5">
      <c r="A5" s="13" t="inlineStr">
        <is>
          <t>Total revenue</t>
        </is>
      </c>
      <c r="B5" s="5">
        <f>B3+B4</f>
        <v/>
      </c>
      <c r="C5" s="5">
        <f>C3+C4</f>
        <v/>
      </c>
      <c r="D5" s="5">
        <f>D3+D4</f>
        <v/>
      </c>
      <c r="E5" s="5">
        <f>E3+E4</f>
        <v/>
      </c>
      <c r="F5" s="5">
        <f>F3+F4</f>
        <v/>
      </c>
      <c r="G5" s="5">
        <f>G3+G4</f>
        <v/>
      </c>
      <c r="H5" s="5">
        <f>H3+H4</f>
        <v/>
      </c>
      <c r="I5" s="5">
        <f>I3+I4</f>
        <v/>
      </c>
      <c r="J5" s="5">
        <f>J3+J4</f>
        <v/>
      </c>
      <c r="K5" s="5">
        <f>K3+K4</f>
        <v/>
      </c>
      <c r="L5" s="5">
        <f>L3+L4</f>
        <v/>
      </c>
      <c r="M5" s="5">
        <f>M3+M4</f>
        <v/>
      </c>
    </row>
    <row r="6">
      <c r="A6" t="inlineStr"/>
    </row>
    <row r="7">
      <c r="A7" s="12" t="inlineStr">
        <is>
          <t>COGS (cost of goods sold)</t>
        </is>
      </c>
    </row>
    <row r="8">
      <c r="A8" t="inlineStr">
        <is>
          <t>Ingredients</t>
        </is>
      </c>
      <c r="B8" s="5">
        <f>SUMIFS('Money Out'!F:F,'Money Out'!G:G,"Ingredients",'Money Out'!B:B,"&gt;="&amp;DATE(2026,5,1),'Money Out'!B:B,"&lt;="&amp;DATE(2026,6,1)-1)</f>
        <v/>
      </c>
      <c r="C8" s="5">
        <f>SUMIFS('Money Out'!F:F,'Money Out'!G:G,"Ingredients",'Money Out'!B:B,"&gt;="&amp;DATE(2026,6,1),'Money Out'!B:B,"&lt;="&amp;DATE(2026,7,1)-1)</f>
        <v/>
      </c>
      <c r="D8" s="5">
        <f>SUMIFS('Money Out'!F:F,'Money Out'!G:G,"Ingredients",'Money Out'!B:B,"&gt;="&amp;DATE(2026,7,1),'Money Out'!B:B,"&lt;="&amp;DATE(2026,8,1)-1)</f>
        <v/>
      </c>
      <c r="E8" s="5">
        <f>SUMIFS('Money Out'!F:F,'Money Out'!G:G,"Ingredients",'Money Out'!B:B,"&gt;="&amp;DATE(2026,8,1),'Money Out'!B:B,"&lt;="&amp;DATE(2026,9,1)-1)</f>
        <v/>
      </c>
      <c r="F8" s="5">
        <f>SUMIFS('Money Out'!F:F,'Money Out'!G:G,"Ingredients",'Money Out'!B:B,"&gt;="&amp;DATE(2026,9,1),'Money Out'!B:B,"&lt;="&amp;DATE(2026,10,1)-1)</f>
        <v/>
      </c>
      <c r="G8" s="5">
        <f>SUMIFS('Money Out'!F:F,'Money Out'!G:G,"Ingredients",'Money Out'!B:B,"&gt;="&amp;DATE(2026,10,1),'Money Out'!B:B,"&lt;="&amp;DATE(2026,11,1)-1)</f>
        <v/>
      </c>
      <c r="H8" s="5">
        <f>SUMIFS('Money Out'!F:F,'Money Out'!G:G,"Ingredients",'Money Out'!B:B,"&gt;="&amp;DATE(2026,11,1),'Money Out'!B:B,"&lt;="&amp;DATE(2026,12,1)-1)</f>
        <v/>
      </c>
      <c r="I8" s="5">
        <f>SUMIFS('Money Out'!F:F,'Money Out'!G:G,"Ingredients",'Money Out'!B:B,"&gt;="&amp;DATE(2026,12,1),'Money Out'!B:B,"&lt;="&amp;DATE(2027,1,1)-1)</f>
        <v/>
      </c>
      <c r="J8" s="5">
        <f>SUMIFS('Money Out'!F:F,'Money Out'!G:G,"Ingredients",'Money Out'!B:B,"&gt;="&amp;DATE(2027,1,1),'Money Out'!B:B,"&lt;="&amp;DATE(2027,2,1)-1)</f>
        <v/>
      </c>
      <c r="K8" s="5">
        <f>SUMIFS('Money Out'!F:F,'Money Out'!G:G,"Ingredients",'Money Out'!B:B,"&gt;="&amp;DATE(2027,2,1),'Money Out'!B:B,"&lt;="&amp;DATE(2027,3,1)-1)</f>
        <v/>
      </c>
      <c r="L8" s="5">
        <f>SUMIFS('Money Out'!F:F,'Money Out'!G:G,"Ingredients",'Money Out'!B:B,"&gt;="&amp;DATE(2027,3,1),'Money Out'!B:B,"&lt;="&amp;DATE(2027,4,1)-1)</f>
        <v/>
      </c>
      <c r="M8" s="5">
        <f>SUMIFS('Money Out'!F:F,'Money Out'!G:G,"Ingredients",'Money Out'!B:B,"&gt;="&amp;DATE(2027,4,1),'Money Out'!B:B,"&lt;="&amp;DATE(2027,5,1)-1)</f>
        <v/>
      </c>
    </row>
    <row r="9">
      <c r="A9" t="inlineStr">
        <is>
          <t>Packaging</t>
        </is>
      </c>
      <c r="B9" s="5">
        <f>SUMIFS('Money Out'!F:F,'Money Out'!G:G,"Packaging",'Money Out'!B:B,"&gt;="&amp;DATE(2026,5,1),'Money Out'!B:B,"&lt;="&amp;DATE(2026,6,1)-1)</f>
        <v/>
      </c>
      <c r="C9" s="5">
        <f>SUMIFS('Money Out'!F:F,'Money Out'!G:G,"Packaging",'Money Out'!B:B,"&gt;="&amp;DATE(2026,6,1),'Money Out'!B:B,"&lt;="&amp;DATE(2026,7,1)-1)</f>
        <v/>
      </c>
      <c r="D9" s="5">
        <f>SUMIFS('Money Out'!F:F,'Money Out'!G:G,"Packaging",'Money Out'!B:B,"&gt;="&amp;DATE(2026,7,1),'Money Out'!B:B,"&lt;="&amp;DATE(2026,8,1)-1)</f>
        <v/>
      </c>
      <c r="E9" s="5">
        <f>SUMIFS('Money Out'!F:F,'Money Out'!G:G,"Packaging",'Money Out'!B:B,"&gt;="&amp;DATE(2026,8,1),'Money Out'!B:B,"&lt;="&amp;DATE(2026,9,1)-1)</f>
        <v/>
      </c>
      <c r="F9" s="5">
        <f>SUMIFS('Money Out'!F:F,'Money Out'!G:G,"Packaging",'Money Out'!B:B,"&gt;="&amp;DATE(2026,9,1),'Money Out'!B:B,"&lt;="&amp;DATE(2026,10,1)-1)</f>
        <v/>
      </c>
      <c r="G9" s="5">
        <f>SUMIFS('Money Out'!F:F,'Money Out'!G:G,"Packaging",'Money Out'!B:B,"&gt;="&amp;DATE(2026,10,1),'Money Out'!B:B,"&lt;="&amp;DATE(2026,11,1)-1)</f>
        <v/>
      </c>
      <c r="H9" s="5">
        <f>SUMIFS('Money Out'!F:F,'Money Out'!G:G,"Packaging",'Money Out'!B:B,"&gt;="&amp;DATE(2026,11,1),'Money Out'!B:B,"&lt;="&amp;DATE(2026,12,1)-1)</f>
        <v/>
      </c>
      <c r="I9" s="5">
        <f>SUMIFS('Money Out'!F:F,'Money Out'!G:G,"Packaging",'Money Out'!B:B,"&gt;="&amp;DATE(2026,12,1),'Money Out'!B:B,"&lt;="&amp;DATE(2027,1,1)-1)</f>
        <v/>
      </c>
      <c r="J9" s="5">
        <f>SUMIFS('Money Out'!F:F,'Money Out'!G:G,"Packaging",'Money Out'!B:B,"&gt;="&amp;DATE(2027,1,1),'Money Out'!B:B,"&lt;="&amp;DATE(2027,2,1)-1)</f>
        <v/>
      </c>
      <c r="K9" s="5">
        <f>SUMIFS('Money Out'!F:F,'Money Out'!G:G,"Packaging",'Money Out'!B:B,"&gt;="&amp;DATE(2027,2,1),'Money Out'!B:B,"&lt;="&amp;DATE(2027,3,1)-1)</f>
        <v/>
      </c>
      <c r="L9" s="5">
        <f>SUMIFS('Money Out'!F:F,'Money Out'!G:G,"Packaging",'Money Out'!B:B,"&gt;="&amp;DATE(2027,3,1),'Money Out'!B:B,"&lt;="&amp;DATE(2027,4,1)-1)</f>
        <v/>
      </c>
      <c r="M9" s="5">
        <f>SUMIFS('Money Out'!F:F,'Money Out'!G:G,"Packaging",'Money Out'!B:B,"&gt;="&amp;DATE(2027,4,1),'Money Out'!B:B,"&lt;="&amp;DATE(2027,5,1)-1)</f>
        <v/>
      </c>
    </row>
    <row r="10">
      <c r="A10" s="13" t="inlineStr">
        <is>
          <t>Total COGS</t>
        </is>
      </c>
      <c r="B10" s="5">
        <f>B8+B9</f>
        <v/>
      </c>
      <c r="C10" s="5">
        <f>C8+C9</f>
        <v/>
      </c>
      <c r="D10" s="5">
        <f>D8+D9</f>
        <v/>
      </c>
      <c r="E10" s="5">
        <f>E8+E9</f>
        <v/>
      </c>
      <c r="F10" s="5">
        <f>F8+F9</f>
        <v/>
      </c>
      <c r="G10" s="5">
        <f>G8+G9</f>
        <v/>
      </c>
      <c r="H10" s="5">
        <f>H8+H9</f>
        <v/>
      </c>
      <c r="I10" s="5">
        <f>I8+I9</f>
        <v/>
      </c>
      <c r="J10" s="5">
        <f>J8+J9</f>
        <v/>
      </c>
      <c r="K10" s="5">
        <f>K8+K9</f>
        <v/>
      </c>
      <c r="L10" s="5">
        <f>L8+L9</f>
        <v/>
      </c>
      <c r="M10" s="5">
        <f>M8+M9</f>
        <v/>
      </c>
    </row>
    <row r="11">
      <c r="A11" s="13" t="inlineStr">
        <is>
          <t>Gross profit</t>
        </is>
      </c>
      <c r="B11" s="5">
        <f>B5-B10</f>
        <v/>
      </c>
      <c r="C11" s="5">
        <f>C5-C10</f>
        <v/>
      </c>
      <c r="D11" s="5">
        <f>D5-D10</f>
        <v/>
      </c>
      <c r="E11" s="5">
        <f>E5-E10</f>
        <v/>
      </c>
      <c r="F11" s="5">
        <f>F5-F10</f>
        <v/>
      </c>
      <c r="G11" s="5">
        <f>G5-G10</f>
        <v/>
      </c>
      <c r="H11" s="5">
        <f>H5-H10</f>
        <v/>
      </c>
      <c r="I11" s="5">
        <f>I5-I10</f>
        <v/>
      </c>
      <c r="J11" s="5">
        <f>J5-J10</f>
        <v/>
      </c>
      <c r="K11" s="5">
        <f>K5-K10</f>
        <v/>
      </c>
      <c r="L11" s="5">
        <f>L5-L10</f>
        <v/>
      </c>
      <c r="M11" s="5">
        <f>M5-M10</f>
        <v/>
      </c>
    </row>
    <row r="12">
      <c r="A12" s="13" t="inlineStr">
        <is>
          <t>Gross margin %</t>
        </is>
      </c>
      <c r="B12" s="14">
        <f>IFERROR(B11/B5,"")</f>
        <v/>
      </c>
      <c r="C12" s="14">
        <f>IFERROR(C11/C5,"")</f>
        <v/>
      </c>
      <c r="D12" s="14">
        <f>IFERROR(D11/D5,"")</f>
        <v/>
      </c>
      <c r="E12" s="14">
        <f>IFERROR(E11/E5,"")</f>
        <v/>
      </c>
      <c r="F12" s="14">
        <f>IFERROR(F11/F5,"")</f>
        <v/>
      </c>
      <c r="G12" s="14">
        <f>IFERROR(G11/G5,"")</f>
        <v/>
      </c>
      <c r="H12" s="14">
        <f>IFERROR(H11/H5,"")</f>
        <v/>
      </c>
      <c r="I12" s="14">
        <f>IFERROR(I11/I5,"")</f>
        <v/>
      </c>
      <c r="J12" s="14">
        <f>IFERROR(J11/J5,"")</f>
        <v/>
      </c>
      <c r="K12" s="14">
        <f>IFERROR(K11/K5,"")</f>
        <v/>
      </c>
      <c r="L12" s="14">
        <f>IFERROR(L11/L5,"")</f>
        <v/>
      </c>
      <c r="M12" s="14">
        <f>IFERROR(M11/M5,"")</f>
        <v/>
      </c>
    </row>
    <row r="13">
      <c r="A13" t="inlineStr"/>
    </row>
    <row r="14">
      <c r="A14" s="12" t="inlineStr">
        <is>
          <t>OPERATING EXPENSES</t>
        </is>
      </c>
    </row>
    <row r="15">
      <c r="A15" t="inlineStr">
        <is>
          <t>Utilities</t>
        </is>
      </c>
      <c r="B15" s="5">
        <f>SUMIFS('Money Out'!F:F,'Money Out'!G:G,"Utilities",'Money Out'!B:B,"&gt;="&amp;DATE(2026,5,1),'Money Out'!B:B,"&lt;="&amp;DATE(2026,6,1)-1)</f>
        <v/>
      </c>
      <c r="C15" s="5">
        <f>SUMIFS('Money Out'!F:F,'Money Out'!G:G,"Utilities",'Money Out'!B:B,"&gt;="&amp;DATE(2026,6,1),'Money Out'!B:B,"&lt;="&amp;DATE(2026,7,1)-1)</f>
        <v/>
      </c>
      <c r="D15" s="5">
        <f>SUMIFS('Money Out'!F:F,'Money Out'!G:G,"Utilities",'Money Out'!B:B,"&gt;="&amp;DATE(2026,7,1),'Money Out'!B:B,"&lt;="&amp;DATE(2026,8,1)-1)</f>
        <v/>
      </c>
      <c r="E15" s="5">
        <f>SUMIFS('Money Out'!F:F,'Money Out'!G:G,"Utilities",'Money Out'!B:B,"&gt;="&amp;DATE(2026,8,1),'Money Out'!B:B,"&lt;="&amp;DATE(2026,9,1)-1)</f>
        <v/>
      </c>
      <c r="F15" s="5">
        <f>SUMIFS('Money Out'!F:F,'Money Out'!G:G,"Utilities",'Money Out'!B:B,"&gt;="&amp;DATE(2026,9,1),'Money Out'!B:B,"&lt;="&amp;DATE(2026,10,1)-1)</f>
        <v/>
      </c>
      <c r="G15" s="5">
        <f>SUMIFS('Money Out'!F:F,'Money Out'!G:G,"Utilities",'Money Out'!B:B,"&gt;="&amp;DATE(2026,10,1),'Money Out'!B:B,"&lt;="&amp;DATE(2026,11,1)-1)</f>
        <v/>
      </c>
      <c r="H15" s="5">
        <f>SUMIFS('Money Out'!F:F,'Money Out'!G:G,"Utilities",'Money Out'!B:B,"&gt;="&amp;DATE(2026,11,1),'Money Out'!B:B,"&lt;="&amp;DATE(2026,12,1)-1)</f>
        <v/>
      </c>
      <c r="I15" s="5">
        <f>SUMIFS('Money Out'!F:F,'Money Out'!G:G,"Utilities",'Money Out'!B:B,"&gt;="&amp;DATE(2026,12,1),'Money Out'!B:B,"&lt;="&amp;DATE(2027,1,1)-1)</f>
        <v/>
      </c>
      <c r="J15" s="5">
        <f>SUMIFS('Money Out'!F:F,'Money Out'!G:G,"Utilities",'Money Out'!B:B,"&gt;="&amp;DATE(2027,1,1),'Money Out'!B:B,"&lt;="&amp;DATE(2027,2,1)-1)</f>
        <v/>
      </c>
      <c r="K15" s="5">
        <f>SUMIFS('Money Out'!F:F,'Money Out'!G:G,"Utilities",'Money Out'!B:B,"&gt;="&amp;DATE(2027,2,1),'Money Out'!B:B,"&lt;="&amp;DATE(2027,3,1)-1)</f>
        <v/>
      </c>
      <c r="L15" s="5">
        <f>SUMIFS('Money Out'!F:F,'Money Out'!G:G,"Utilities",'Money Out'!B:B,"&gt;="&amp;DATE(2027,3,1),'Money Out'!B:B,"&lt;="&amp;DATE(2027,4,1)-1)</f>
        <v/>
      </c>
      <c r="M15" s="5">
        <f>SUMIFS('Money Out'!F:F,'Money Out'!G:G,"Utilities",'Money Out'!B:B,"&gt;="&amp;DATE(2027,4,1),'Money Out'!B:B,"&lt;="&amp;DATE(2027,5,1)-1)</f>
        <v/>
      </c>
    </row>
    <row r="16">
      <c r="A16" t="inlineStr">
        <is>
          <t>Rent</t>
        </is>
      </c>
      <c r="B16" s="5">
        <f>SUMIFS('Money Out'!F:F,'Money Out'!G:G,"Rent",'Money Out'!B:B,"&gt;="&amp;DATE(2026,5,1),'Money Out'!B:B,"&lt;="&amp;DATE(2026,6,1)-1)</f>
        <v/>
      </c>
      <c r="C16" s="5">
        <f>SUMIFS('Money Out'!F:F,'Money Out'!G:G,"Rent",'Money Out'!B:B,"&gt;="&amp;DATE(2026,6,1),'Money Out'!B:B,"&lt;="&amp;DATE(2026,7,1)-1)</f>
        <v/>
      </c>
      <c r="D16" s="5">
        <f>SUMIFS('Money Out'!F:F,'Money Out'!G:G,"Rent",'Money Out'!B:B,"&gt;="&amp;DATE(2026,7,1),'Money Out'!B:B,"&lt;="&amp;DATE(2026,8,1)-1)</f>
        <v/>
      </c>
      <c r="E16" s="5">
        <f>SUMIFS('Money Out'!F:F,'Money Out'!G:G,"Rent",'Money Out'!B:B,"&gt;="&amp;DATE(2026,8,1),'Money Out'!B:B,"&lt;="&amp;DATE(2026,9,1)-1)</f>
        <v/>
      </c>
      <c r="F16" s="5">
        <f>SUMIFS('Money Out'!F:F,'Money Out'!G:G,"Rent",'Money Out'!B:B,"&gt;="&amp;DATE(2026,9,1),'Money Out'!B:B,"&lt;="&amp;DATE(2026,10,1)-1)</f>
        <v/>
      </c>
      <c r="G16" s="5">
        <f>SUMIFS('Money Out'!F:F,'Money Out'!G:G,"Rent",'Money Out'!B:B,"&gt;="&amp;DATE(2026,10,1),'Money Out'!B:B,"&lt;="&amp;DATE(2026,11,1)-1)</f>
        <v/>
      </c>
      <c r="H16" s="5">
        <f>SUMIFS('Money Out'!F:F,'Money Out'!G:G,"Rent",'Money Out'!B:B,"&gt;="&amp;DATE(2026,11,1),'Money Out'!B:B,"&lt;="&amp;DATE(2026,12,1)-1)</f>
        <v/>
      </c>
      <c r="I16" s="5">
        <f>SUMIFS('Money Out'!F:F,'Money Out'!G:G,"Rent",'Money Out'!B:B,"&gt;="&amp;DATE(2026,12,1),'Money Out'!B:B,"&lt;="&amp;DATE(2027,1,1)-1)</f>
        <v/>
      </c>
      <c r="J16" s="5">
        <f>SUMIFS('Money Out'!F:F,'Money Out'!G:G,"Rent",'Money Out'!B:B,"&gt;="&amp;DATE(2027,1,1),'Money Out'!B:B,"&lt;="&amp;DATE(2027,2,1)-1)</f>
        <v/>
      </c>
      <c r="K16" s="5">
        <f>SUMIFS('Money Out'!F:F,'Money Out'!G:G,"Rent",'Money Out'!B:B,"&gt;="&amp;DATE(2027,2,1),'Money Out'!B:B,"&lt;="&amp;DATE(2027,3,1)-1)</f>
        <v/>
      </c>
      <c r="L16" s="5">
        <f>SUMIFS('Money Out'!F:F,'Money Out'!G:G,"Rent",'Money Out'!B:B,"&gt;="&amp;DATE(2027,3,1),'Money Out'!B:B,"&lt;="&amp;DATE(2027,4,1)-1)</f>
        <v/>
      </c>
      <c r="M16" s="5">
        <f>SUMIFS('Money Out'!F:F,'Money Out'!G:G,"Rent",'Money Out'!B:B,"&gt;="&amp;DATE(2027,4,1),'Money Out'!B:B,"&lt;="&amp;DATE(2027,5,1)-1)</f>
        <v/>
      </c>
    </row>
    <row r="17">
      <c r="A17" t="inlineStr">
        <is>
          <t>Maintenance</t>
        </is>
      </c>
      <c r="B17" s="5">
        <f>SUMIFS('Money Out'!F:F,'Money Out'!G:G,"Maintenance",'Money Out'!B:B,"&gt;="&amp;DATE(2026,5,1),'Money Out'!B:B,"&lt;="&amp;DATE(2026,6,1)-1)</f>
        <v/>
      </c>
      <c r="C17" s="5">
        <f>SUMIFS('Money Out'!F:F,'Money Out'!G:G,"Maintenance",'Money Out'!B:B,"&gt;="&amp;DATE(2026,6,1),'Money Out'!B:B,"&lt;="&amp;DATE(2026,7,1)-1)</f>
        <v/>
      </c>
      <c r="D17" s="5">
        <f>SUMIFS('Money Out'!F:F,'Money Out'!G:G,"Maintenance",'Money Out'!B:B,"&gt;="&amp;DATE(2026,7,1),'Money Out'!B:B,"&lt;="&amp;DATE(2026,8,1)-1)</f>
        <v/>
      </c>
      <c r="E17" s="5">
        <f>SUMIFS('Money Out'!F:F,'Money Out'!G:G,"Maintenance",'Money Out'!B:B,"&gt;="&amp;DATE(2026,8,1),'Money Out'!B:B,"&lt;="&amp;DATE(2026,9,1)-1)</f>
        <v/>
      </c>
      <c r="F17" s="5">
        <f>SUMIFS('Money Out'!F:F,'Money Out'!G:G,"Maintenance",'Money Out'!B:B,"&gt;="&amp;DATE(2026,9,1),'Money Out'!B:B,"&lt;="&amp;DATE(2026,10,1)-1)</f>
        <v/>
      </c>
      <c r="G17" s="5">
        <f>SUMIFS('Money Out'!F:F,'Money Out'!G:G,"Maintenance",'Money Out'!B:B,"&gt;="&amp;DATE(2026,10,1),'Money Out'!B:B,"&lt;="&amp;DATE(2026,11,1)-1)</f>
        <v/>
      </c>
      <c r="H17" s="5">
        <f>SUMIFS('Money Out'!F:F,'Money Out'!G:G,"Maintenance",'Money Out'!B:B,"&gt;="&amp;DATE(2026,11,1),'Money Out'!B:B,"&lt;="&amp;DATE(2026,12,1)-1)</f>
        <v/>
      </c>
      <c r="I17" s="5">
        <f>SUMIFS('Money Out'!F:F,'Money Out'!G:G,"Maintenance",'Money Out'!B:B,"&gt;="&amp;DATE(2026,12,1),'Money Out'!B:B,"&lt;="&amp;DATE(2027,1,1)-1)</f>
        <v/>
      </c>
      <c r="J17" s="5">
        <f>SUMIFS('Money Out'!F:F,'Money Out'!G:G,"Maintenance",'Money Out'!B:B,"&gt;="&amp;DATE(2027,1,1),'Money Out'!B:B,"&lt;="&amp;DATE(2027,2,1)-1)</f>
        <v/>
      </c>
      <c r="K17" s="5">
        <f>SUMIFS('Money Out'!F:F,'Money Out'!G:G,"Maintenance",'Money Out'!B:B,"&gt;="&amp;DATE(2027,2,1),'Money Out'!B:B,"&lt;="&amp;DATE(2027,3,1)-1)</f>
        <v/>
      </c>
      <c r="L17" s="5">
        <f>SUMIFS('Money Out'!F:F,'Money Out'!G:G,"Maintenance",'Money Out'!B:B,"&gt;="&amp;DATE(2027,3,1),'Money Out'!B:B,"&lt;="&amp;DATE(2027,4,1)-1)</f>
        <v/>
      </c>
      <c r="M17" s="5">
        <f>SUMIFS('Money Out'!F:F,'Money Out'!G:G,"Maintenance",'Money Out'!B:B,"&gt;="&amp;DATE(2027,4,1),'Money Out'!B:B,"&lt;="&amp;DATE(2027,5,1)-1)</f>
        <v/>
      </c>
    </row>
    <row r="18">
      <c r="A18" t="inlineStr">
        <is>
          <t>Marketing</t>
        </is>
      </c>
      <c r="B18" s="5">
        <f>SUMIFS('Money Out'!F:F,'Money Out'!G:G,"Marketing",'Money Out'!B:B,"&gt;="&amp;DATE(2026,5,1),'Money Out'!B:B,"&lt;="&amp;DATE(2026,6,1)-1)</f>
        <v/>
      </c>
      <c r="C18" s="5">
        <f>SUMIFS('Money Out'!F:F,'Money Out'!G:G,"Marketing",'Money Out'!B:B,"&gt;="&amp;DATE(2026,6,1),'Money Out'!B:B,"&lt;="&amp;DATE(2026,7,1)-1)</f>
        <v/>
      </c>
      <c r="D18" s="5">
        <f>SUMIFS('Money Out'!F:F,'Money Out'!G:G,"Marketing",'Money Out'!B:B,"&gt;="&amp;DATE(2026,7,1),'Money Out'!B:B,"&lt;="&amp;DATE(2026,8,1)-1)</f>
        <v/>
      </c>
      <c r="E18" s="5">
        <f>SUMIFS('Money Out'!F:F,'Money Out'!G:G,"Marketing",'Money Out'!B:B,"&gt;="&amp;DATE(2026,8,1),'Money Out'!B:B,"&lt;="&amp;DATE(2026,9,1)-1)</f>
        <v/>
      </c>
      <c r="F18" s="5">
        <f>SUMIFS('Money Out'!F:F,'Money Out'!G:G,"Marketing",'Money Out'!B:B,"&gt;="&amp;DATE(2026,9,1),'Money Out'!B:B,"&lt;="&amp;DATE(2026,10,1)-1)</f>
        <v/>
      </c>
      <c r="G18" s="5">
        <f>SUMIFS('Money Out'!F:F,'Money Out'!G:G,"Marketing",'Money Out'!B:B,"&gt;="&amp;DATE(2026,10,1),'Money Out'!B:B,"&lt;="&amp;DATE(2026,11,1)-1)</f>
        <v/>
      </c>
      <c r="H18" s="5">
        <f>SUMIFS('Money Out'!F:F,'Money Out'!G:G,"Marketing",'Money Out'!B:B,"&gt;="&amp;DATE(2026,11,1),'Money Out'!B:B,"&lt;="&amp;DATE(2026,12,1)-1)</f>
        <v/>
      </c>
      <c r="I18" s="5">
        <f>SUMIFS('Money Out'!F:F,'Money Out'!G:G,"Marketing",'Money Out'!B:B,"&gt;="&amp;DATE(2026,12,1),'Money Out'!B:B,"&lt;="&amp;DATE(2027,1,1)-1)</f>
        <v/>
      </c>
      <c r="J18" s="5">
        <f>SUMIFS('Money Out'!F:F,'Money Out'!G:G,"Marketing",'Money Out'!B:B,"&gt;="&amp;DATE(2027,1,1),'Money Out'!B:B,"&lt;="&amp;DATE(2027,2,1)-1)</f>
        <v/>
      </c>
      <c r="K18" s="5">
        <f>SUMIFS('Money Out'!F:F,'Money Out'!G:G,"Marketing",'Money Out'!B:B,"&gt;="&amp;DATE(2027,2,1),'Money Out'!B:B,"&lt;="&amp;DATE(2027,3,1)-1)</f>
        <v/>
      </c>
      <c r="L18" s="5">
        <f>SUMIFS('Money Out'!F:F,'Money Out'!G:G,"Marketing",'Money Out'!B:B,"&gt;="&amp;DATE(2027,3,1),'Money Out'!B:B,"&lt;="&amp;DATE(2027,4,1)-1)</f>
        <v/>
      </c>
      <c r="M18" s="5">
        <f>SUMIFS('Money Out'!F:F,'Money Out'!G:G,"Marketing",'Money Out'!B:B,"&gt;="&amp;DATE(2027,4,1),'Money Out'!B:B,"&lt;="&amp;DATE(2027,5,1)-1)</f>
        <v/>
      </c>
    </row>
    <row r="19">
      <c r="A19" t="inlineStr">
        <is>
          <t>Delivery</t>
        </is>
      </c>
      <c r="B19" s="5">
        <f>SUMIFS('Money Out'!F:F,'Money Out'!G:G,"Delivery (Porter/Dunzo)",'Money Out'!B:B,"&gt;="&amp;DATE(2026,5,1),'Money Out'!B:B,"&lt;="&amp;DATE(2026,6,1)-1)</f>
        <v/>
      </c>
      <c r="C19" s="5">
        <f>SUMIFS('Money Out'!F:F,'Money Out'!G:G,"Delivery (Porter/Dunzo)",'Money Out'!B:B,"&gt;="&amp;DATE(2026,6,1),'Money Out'!B:B,"&lt;="&amp;DATE(2026,7,1)-1)</f>
        <v/>
      </c>
      <c r="D19" s="5">
        <f>SUMIFS('Money Out'!F:F,'Money Out'!G:G,"Delivery (Porter/Dunzo)",'Money Out'!B:B,"&gt;="&amp;DATE(2026,7,1),'Money Out'!B:B,"&lt;="&amp;DATE(2026,8,1)-1)</f>
        <v/>
      </c>
      <c r="E19" s="5">
        <f>SUMIFS('Money Out'!F:F,'Money Out'!G:G,"Delivery (Porter/Dunzo)",'Money Out'!B:B,"&gt;="&amp;DATE(2026,8,1),'Money Out'!B:B,"&lt;="&amp;DATE(2026,9,1)-1)</f>
        <v/>
      </c>
      <c r="F19" s="5">
        <f>SUMIFS('Money Out'!F:F,'Money Out'!G:G,"Delivery (Porter/Dunzo)",'Money Out'!B:B,"&gt;="&amp;DATE(2026,9,1),'Money Out'!B:B,"&lt;="&amp;DATE(2026,10,1)-1)</f>
        <v/>
      </c>
      <c r="G19" s="5">
        <f>SUMIFS('Money Out'!F:F,'Money Out'!G:G,"Delivery (Porter/Dunzo)",'Money Out'!B:B,"&gt;="&amp;DATE(2026,10,1),'Money Out'!B:B,"&lt;="&amp;DATE(2026,11,1)-1)</f>
        <v/>
      </c>
      <c r="H19" s="5">
        <f>SUMIFS('Money Out'!F:F,'Money Out'!G:G,"Delivery (Porter/Dunzo)",'Money Out'!B:B,"&gt;="&amp;DATE(2026,11,1),'Money Out'!B:B,"&lt;="&amp;DATE(2026,12,1)-1)</f>
        <v/>
      </c>
      <c r="I19" s="5">
        <f>SUMIFS('Money Out'!F:F,'Money Out'!G:G,"Delivery (Porter/Dunzo)",'Money Out'!B:B,"&gt;="&amp;DATE(2026,12,1),'Money Out'!B:B,"&lt;="&amp;DATE(2027,1,1)-1)</f>
        <v/>
      </c>
      <c r="J19" s="5">
        <f>SUMIFS('Money Out'!F:F,'Money Out'!G:G,"Delivery (Porter/Dunzo)",'Money Out'!B:B,"&gt;="&amp;DATE(2027,1,1),'Money Out'!B:B,"&lt;="&amp;DATE(2027,2,1)-1)</f>
        <v/>
      </c>
      <c r="K19" s="5">
        <f>SUMIFS('Money Out'!F:F,'Money Out'!G:G,"Delivery (Porter/Dunzo)",'Money Out'!B:B,"&gt;="&amp;DATE(2027,2,1),'Money Out'!B:B,"&lt;="&amp;DATE(2027,3,1)-1)</f>
        <v/>
      </c>
      <c r="L19" s="5">
        <f>SUMIFS('Money Out'!F:F,'Money Out'!G:G,"Delivery (Porter/Dunzo)",'Money Out'!B:B,"&gt;="&amp;DATE(2027,3,1),'Money Out'!B:B,"&lt;="&amp;DATE(2027,4,1)-1)</f>
        <v/>
      </c>
      <c r="M19" s="5">
        <f>SUMIFS('Money Out'!F:F,'Money Out'!G:G,"Delivery (Porter/Dunzo)",'Money Out'!B:B,"&gt;="&amp;DATE(2027,4,1),'Money Out'!B:B,"&lt;="&amp;DATE(2027,5,1)-1)</f>
        <v/>
      </c>
    </row>
    <row r="20">
      <c r="A20" s="13" t="inlineStr">
        <is>
          <t>Total opex</t>
        </is>
      </c>
      <c r="B20" s="5">
        <f>SUM(B15:B19)</f>
        <v/>
      </c>
      <c r="C20" s="5">
        <f>SUM(C15:C19)</f>
        <v/>
      </c>
      <c r="D20" s="5">
        <f>SUM(D15:D19)</f>
        <v/>
      </c>
      <c r="E20" s="5">
        <f>SUM(E15:E19)</f>
        <v/>
      </c>
      <c r="F20" s="5">
        <f>SUM(F15:F19)</f>
        <v/>
      </c>
      <c r="G20" s="5">
        <f>SUM(G15:G19)</f>
        <v/>
      </c>
      <c r="H20" s="5">
        <f>SUM(H15:H19)</f>
        <v/>
      </c>
      <c r="I20" s="5">
        <f>SUM(I15:I19)</f>
        <v/>
      </c>
      <c r="J20" s="5">
        <f>SUM(J15:J19)</f>
        <v/>
      </c>
      <c r="K20" s="5">
        <f>SUM(K15:K19)</f>
        <v/>
      </c>
      <c r="L20" s="5">
        <f>SUM(L15:L19)</f>
        <v/>
      </c>
      <c r="M20" s="5">
        <f>SUM(M15:M19)</f>
        <v/>
      </c>
    </row>
    <row r="21">
      <c r="A21" t="inlineStr"/>
    </row>
    <row r="22">
      <c r="A22" s="13" t="inlineStr">
        <is>
          <t>Operating profit</t>
        </is>
      </c>
      <c r="B22" s="5">
        <f>B11-B20</f>
        <v/>
      </c>
      <c r="C22" s="5">
        <f>C11-C20</f>
        <v/>
      </c>
      <c r="D22" s="5">
        <f>D11-D20</f>
        <v/>
      </c>
      <c r="E22" s="5">
        <f>E11-E20</f>
        <v/>
      </c>
      <c r="F22" s="5">
        <f>F11-F20</f>
        <v/>
      </c>
      <c r="G22" s="5">
        <f>G11-G20</f>
        <v/>
      </c>
      <c r="H22" s="5">
        <f>H11-H20</f>
        <v/>
      </c>
      <c r="I22" s="5">
        <f>I11-I20</f>
        <v/>
      </c>
      <c r="J22" s="5">
        <f>J11-J20</f>
        <v/>
      </c>
      <c r="K22" s="5">
        <f>K11-K20</f>
        <v/>
      </c>
      <c r="L22" s="5">
        <f>L11-L20</f>
        <v/>
      </c>
      <c r="M22" s="5">
        <f>M11-M20</f>
        <v/>
      </c>
    </row>
    <row r="23">
      <c r="A23" t="inlineStr"/>
    </row>
    <row r="24">
      <c r="A24" s="12" t="inlineStr">
        <is>
          <t>BELOW THE LINE</t>
        </is>
      </c>
    </row>
    <row r="25">
      <c r="A25" t="inlineStr">
        <is>
          <t>Capex</t>
        </is>
      </c>
      <c r="B25" s="5">
        <f>SUMIFS('Money Out'!F:F,'Money Out'!G:G,"Equipment (capex)",'Money Out'!B:B,"&gt;="&amp;DATE(2026,5,1),'Money Out'!B:B,"&lt;="&amp;DATE(2026,6,1)-1)</f>
        <v/>
      </c>
      <c r="C25" s="5">
        <f>SUMIFS('Money Out'!F:F,'Money Out'!G:G,"Equipment (capex)",'Money Out'!B:B,"&gt;="&amp;DATE(2026,6,1),'Money Out'!B:B,"&lt;="&amp;DATE(2026,7,1)-1)</f>
        <v/>
      </c>
      <c r="D25" s="5">
        <f>SUMIFS('Money Out'!F:F,'Money Out'!G:G,"Equipment (capex)",'Money Out'!B:B,"&gt;="&amp;DATE(2026,7,1),'Money Out'!B:B,"&lt;="&amp;DATE(2026,8,1)-1)</f>
        <v/>
      </c>
      <c r="E25" s="5">
        <f>SUMIFS('Money Out'!F:F,'Money Out'!G:G,"Equipment (capex)",'Money Out'!B:B,"&gt;="&amp;DATE(2026,8,1),'Money Out'!B:B,"&lt;="&amp;DATE(2026,9,1)-1)</f>
        <v/>
      </c>
      <c r="F25" s="5">
        <f>SUMIFS('Money Out'!F:F,'Money Out'!G:G,"Equipment (capex)",'Money Out'!B:B,"&gt;="&amp;DATE(2026,9,1),'Money Out'!B:B,"&lt;="&amp;DATE(2026,10,1)-1)</f>
        <v/>
      </c>
      <c r="G25" s="5">
        <f>SUMIFS('Money Out'!F:F,'Money Out'!G:G,"Equipment (capex)",'Money Out'!B:B,"&gt;="&amp;DATE(2026,10,1),'Money Out'!B:B,"&lt;="&amp;DATE(2026,11,1)-1)</f>
        <v/>
      </c>
      <c r="H25" s="5">
        <f>SUMIFS('Money Out'!F:F,'Money Out'!G:G,"Equipment (capex)",'Money Out'!B:B,"&gt;="&amp;DATE(2026,11,1),'Money Out'!B:B,"&lt;="&amp;DATE(2026,12,1)-1)</f>
        <v/>
      </c>
      <c r="I25" s="5">
        <f>SUMIFS('Money Out'!F:F,'Money Out'!G:G,"Equipment (capex)",'Money Out'!B:B,"&gt;="&amp;DATE(2026,12,1),'Money Out'!B:B,"&lt;="&amp;DATE(2027,1,1)-1)</f>
        <v/>
      </c>
      <c r="J25" s="5">
        <f>SUMIFS('Money Out'!F:F,'Money Out'!G:G,"Equipment (capex)",'Money Out'!B:B,"&gt;="&amp;DATE(2027,1,1),'Money Out'!B:B,"&lt;="&amp;DATE(2027,2,1)-1)</f>
        <v/>
      </c>
      <c r="K25" s="5">
        <f>SUMIFS('Money Out'!F:F,'Money Out'!G:G,"Equipment (capex)",'Money Out'!B:B,"&gt;="&amp;DATE(2027,2,1),'Money Out'!B:B,"&lt;="&amp;DATE(2027,3,1)-1)</f>
        <v/>
      </c>
      <c r="L25" s="5">
        <f>SUMIFS('Money Out'!F:F,'Money Out'!G:G,"Equipment (capex)",'Money Out'!B:B,"&gt;="&amp;DATE(2027,3,1),'Money Out'!B:B,"&lt;="&amp;DATE(2027,4,1)-1)</f>
        <v/>
      </c>
      <c r="M25" s="5">
        <f>SUMIFS('Money Out'!F:F,'Money Out'!G:G,"Equipment (capex)",'Money Out'!B:B,"&gt;="&amp;DATE(2027,4,1),'Money Out'!B:B,"&lt;="&amp;DATE(2027,5,1)-1)</f>
        <v/>
      </c>
    </row>
    <row r="26">
      <c r="A26" t="inlineStr">
        <is>
          <t>Founder draws</t>
        </is>
      </c>
      <c r="B26" s="5">
        <f>SUMIFS('Money Out'!F:F,'Money Out'!G:G,"Founder Draw",'Money Out'!B:B,"&gt;="&amp;DATE(2026,5,1),'Money Out'!B:B,"&lt;="&amp;DATE(2026,6,1)-1)</f>
        <v/>
      </c>
      <c r="C26" s="5">
        <f>SUMIFS('Money Out'!F:F,'Money Out'!G:G,"Founder Draw",'Money Out'!B:B,"&gt;="&amp;DATE(2026,6,1),'Money Out'!B:B,"&lt;="&amp;DATE(2026,7,1)-1)</f>
        <v/>
      </c>
      <c r="D26" s="5">
        <f>SUMIFS('Money Out'!F:F,'Money Out'!G:G,"Founder Draw",'Money Out'!B:B,"&gt;="&amp;DATE(2026,7,1),'Money Out'!B:B,"&lt;="&amp;DATE(2026,8,1)-1)</f>
        <v/>
      </c>
      <c r="E26" s="5">
        <f>SUMIFS('Money Out'!F:F,'Money Out'!G:G,"Founder Draw",'Money Out'!B:B,"&gt;="&amp;DATE(2026,8,1),'Money Out'!B:B,"&lt;="&amp;DATE(2026,9,1)-1)</f>
        <v/>
      </c>
      <c r="F26" s="5">
        <f>SUMIFS('Money Out'!F:F,'Money Out'!G:G,"Founder Draw",'Money Out'!B:B,"&gt;="&amp;DATE(2026,9,1),'Money Out'!B:B,"&lt;="&amp;DATE(2026,10,1)-1)</f>
        <v/>
      </c>
      <c r="G26" s="5">
        <f>SUMIFS('Money Out'!F:F,'Money Out'!G:G,"Founder Draw",'Money Out'!B:B,"&gt;="&amp;DATE(2026,10,1),'Money Out'!B:B,"&lt;="&amp;DATE(2026,11,1)-1)</f>
        <v/>
      </c>
      <c r="H26" s="5">
        <f>SUMIFS('Money Out'!F:F,'Money Out'!G:G,"Founder Draw",'Money Out'!B:B,"&gt;="&amp;DATE(2026,11,1),'Money Out'!B:B,"&lt;="&amp;DATE(2026,12,1)-1)</f>
        <v/>
      </c>
      <c r="I26" s="5">
        <f>SUMIFS('Money Out'!F:F,'Money Out'!G:G,"Founder Draw",'Money Out'!B:B,"&gt;="&amp;DATE(2026,12,1),'Money Out'!B:B,"&lt;="&amp;DATE(2027,1,1)-1)</f>
        <v/>
      </c>
      <c r="J26" s="5">
        <f>SUMIFS('Money Out'!F:F,'Money Out'!G:G,"Founder Draw",'Money Out'!B:B,"&gt;="&amp;DATE(2027,1,1),'Money Out'!B:B,"&lt;="&amp;DATE(2027,2,1)-1)</f>
        <v/>
      </c>
      <c r="K26" s="5">
        <f>SUMIFS('Money Out'!F:F,'Money Out'!G:G,"Founder Draw",'Money Out'!B:B,"&gt;="&amp;DATE(2027,2,1),'Money Out'!B:B,"&lt;="&amp;DATE(2027,3,1)-1)</f>
        <v/>
      </c>
      <c r="L26" s="5">
        <f>SUMIFS('Money Out'!F:F,'Money Out'!G:G,"Founder Draw",'Money Out'!B:B,"&gt;="&amp;DATE(2027,3,1),'Money Out'!B:B,"&lt;="&amp;DATE(2027,4,1)-1)</f>
        <v/>
      </c>
      <c r="M26" s="5">
        <f>SUMIFS('Money Out'!F:F,'Money Out'!G:G,"Founder Draw",'Money Out'!B:B,"&gt;="&amp;DATE(2027,4,1),'Money Out'!B:B,"&lt;="&amp;DATE(2027,5,1)-1)</f>
        <v/>
      </c>
    </row>
    <row r="27">
      <c r="A27" s="13" t="inlineStr">
        <is>
          <t>Net cash flow</t>
        </is>
      </c>
      <c r="B27" s="5">
        <f>B22-B25-B26</f>
        <v/>
      </c>
      <c r="C27" s="5">
        <f>C22-C25-C26</f>
        <v/>
      </c>
      <c r="D27" s="5">
        <f>D22-D25-D26</f>
        <v/>
      </c>
      <c r="E27" s="5">
        <f>E22-E25-E26</f>
        <v/>
      </c>
      <c r="F27" s="5">
        <f>F22-F25-F26</f>
        <v/>
      </c>
      <c r="G27" s="5">
        <f>G22-G25-G26</f>
        <v/>
      </c>
      <c r="H27" s="5">
        <f>H22-H25-H26</f>
        <v/>
      </c>
      <c r="I27" s="5">
        <f>I22-I25-I26</f>
        <v/>
      </c>
      <c r="J27" s="5">
        <f>J22-J25-J26</f>
        <v/>
      </c>
      <c r="K27" s="5">
        <f>K22-K25-K26</f>
        <v/>
      </c>
      <c r="L27" s="5">
        <f>L22-L25-L26</f>
        <v/>
      </c>
      <c r="M27" s="5">
        <f>M22-M25-M26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  <col width="40" customWidth="1" min="7" max="7"/>
  </cols>
  <sheetData>
    <row r="1" ht="36" customHeight="1">
      <c r="A1" s="4" t="inlineStr">
        <is>
          <t>Month</t>
        </is>
      </c>
      <c r="B1" s="4" t="inlineStr">
        <is>
          <t>Opening cash (₹)</t>
        </is>
      </c>
      <c r="C1" s="4" t="inlineStr">
        <is>
          <t>Projected inflows (₹)</t>
        </is>
      </c>
      <c r="D1" s="4" t="inlineStr">
        <is>
          <t>Projected outflows (₹)</t>
        </is>
      </c>
      <c r="E1" s="4" t="inlineStr">
        <is>
          <t>Closing cash (₹)</t>
        </is>
      </c>
      <c r="F1" s="4" t="inlineStr">
        <is>
          <t>Runway flag</t>
        </is>
      </c>
      <c r="G1" s="4" t="inlineStr">
        <is>
          <t>Notes</t>
        </is>
      </c>
    </row>
    <row r="2">
      <c r="A2" s="8" t="inlineStr">
        <is>
          <t>2026-05</t>
        </is>
      </c>
      <c r="B2" s="5">
        <f>SUM('Bank vs UPI Float'!F:F)</f>
        <v/>
      </c>
      <c r="C2" s="8" t="n">
        <v>0</v>
      </c>
      <c r="D2" s="8" t="n">
        <v>0</v>
      </c>
      <c r="E2" s="5">
        <f>B2+C2-D2</f>
        <v/>
      </c>
      <c r="F2" s="5">
        <f>IF(E2&lt;10000,"⚠ BELOW BUFFER",IF(E2&lt;25000,"Tight","OK"))</f>
        <v/>
      </c>
    </row>
    <row r="3">
      <c r="A3" s="8" t="inlineStr">
        <is>
          <t>2026-06</t>
        </is>
      </c>
      <c r="B3" s="5">
        <f>E2</f>
        <v/>
      </c>
      <c r="C3" s="8" t="n">
        <v>0</v>
      </c>
      <c r="D3" s="8" t="n">
        <v>0</v>
      </c>
      <c r="E3" s="5">
        <f>B3+C3-D3</f>
        <v/>
      </c>
      <c r="F3" s="5">
        <f>IF(E3&lt;10000,"⚠ BELOW BUFFER",IF(E3&lt;25000,"Tight","OK"))</f>
        <v/>
      </c>
    </row>
    <row r="4">
      <c r="A4" s="8" t="inlineStr">
        <is>
          <t>2026-07</t>
        </is>
      </c>
      <c r="B4" s="5">
        <f>E3</f>
        <v/>
      </c>
      <c r="C4" s="8" t="n">
        <v>0</v>
      </c>
      <c r="D4" s="8" t="n">
        <v>0</v>
      </c>
      <c r="E4" s="5">
        <f>B4+C4-D4</f>
        <v/>
      </c>
      <c r="F4" s="5">
        <f>IF(E4&lt;10000,"⚠ BELOW BUFFER",IF(E4&lt;25000,"Tight","OK"))</f>
        <v/>
      </c>
    </row>
    <row r="5">
      <c r="A5" s="8" t="inlineStr">
        <is>
          <t>2026-08</t>
        </is>
      </c>
      <c r="B5" s="5">
        <f>E4</f>
        <v/>
      </c>
      <c r="C5" s="8" t="n">
        <v>0</v>
      </c>
      <c r="D5" s="8" t="n">
        <v>0</v>
      </c>
      <c r="E5" s="5">
        <f>B5+C5-D5</f>
        <v/>
      </c>
      <c r="F5" s="5">
        <f>IF(E5&lt;10000,"⚠ BELOW BUFFER",IF(E5&lt;25000,"Tight","OK"))</f>
        <v/>
      </c>
    </row>
    <row r="6">
      <c r="A6" s="8" t="inlineStr">
        <is>
          <t>2026-09</t>
        </is>
      </c>
      <c r="B6" s="5">
        <f>E5</f>
        <v/>
      </c>
      <c r="C6" s="8" t="n">
        <v>0</v>
      </c>
      <c r="D6" s="8" t="n">
        <v>0</v>
      </c>
      <c r="E6" s="5">
        <f>B6+C6-D6</f>
        <v/>
      </c>
      <c r="F6" s="5">
        <f>IF(E6&lt;10000,"⚠ BELOW BUFFER",IF(E6&lt;25000,"Tight","OK"))</f>
        <v/>
      </c>
    </row>
    <row r="7">
      <c r="A7" s="8" t="inlineStr">
        <is>
          <t>2026-10</t>
        </is>
      </c>
      <c r="B7" s="5">
        <f>E6</f>
        <v/>
      </c>
      <c r="C7" s="8" t="n">
        <v>0</v>
      </c>
      <c r="D7" s="8" t="n">
        <v>0</v>
      </c>
      <c r="E7" s="5">
        <f>B7+C7-D7</f>
        <v/>
      </c>
      <c r="F7" s="5">
        <f>IF(E7&lt;10000,"⚠ BELOW BUFFER",IF(E7&lt;25000,"Tight","OK"))</f>
        <v/>
      </c>
    </row>
    <row r="8">
      <c r="A8" s="8" t="inlineStr">
        <is>
          <t>2026-11</t>
        </is>
      </c>
      <c r="B8" s="5">
        <f>E7</f>
        <v/>
      </c>
      <c r="C8" s="8" t="n">
        <v>0</v>
      </c>
      <c r="D8" s="8" t="n">
        <v>0</v>
      </c>
      <c r="E8" s="5">
        <f>B8+C8-D8</f>
        <v/>
      </c>
      <c r="F8" s="5">
        <f>IF(E8&lt;10000,"⚠ BELOW BUFFER",IF(E8&lt;25000,"Tight","OK"))</f>
        <v/>
      </c>
    </row>
    <row r="9">
      <c r="A9" s="8" t="inlineStr">
        <is>
          <t>2026-12</t>
        </is>
      </c>
      <c r="B9" s="5">
        <f>E8</f>
        <v/>
      </c>
      <c r="C9" s="8" t="n">
        <v>0</v>
      </c>
      <c r="D9" s="8" t="n">
        <v>0</v>
      </c>
      <c r="E9" s="5">
        <f>B9+C9-D9</f>
        <v/>
      </c>
      <c r="F9" s="5">
        <f>IF(E9&lt;10000,"⚠ BELOW BUFFER",IF(E9&lt;25000,"Tight","OK"))</f>
        <v/>
      </c>
    </row>
    <row r="10">
      <c r="A10" s="8" t="inlineStr">
        <is>
          <t>2027-01</t>
        </is>
      </c>
      <c r="B10" s="5">
        <f>E9</f>
        <v/>
      </c>
      <c r="C10" s="8" t="n">
        <v>0</v>
      </c>
      <c r="D10" s="8" t="n">
        <v>0</v>
      </c>
      <c r="E10" s="5">
        <f>B10+C10-D10</f>
        <v/>
      </c>
      <c r="F10" s="5">
        <f>IF(E10&lt;10000,"⚠ BELOW BUFFER",IF(E10&lt;25000,"Tight","OK"))</f>
        <v/>
      </c>
    </row>
    <row r="11">
      <c r="A11" s="8" t="inlineStr">
        <is>
          <t>2027-02</t>
        </is>
      </c>
      <c r="B11" s="5">
        <f>E10</f>
        <v/>
      </c>
      <c r="C11" s="8" t="n">
        <v>0</v>
      </c>
      <c r="D11" s="8" t="n">
        <v>0</v>
      </c>
      <c r="E11" s="5">
        <f>B11+C11-D11</f>
        <v/>
      </c>
      <c r="F11" s="5">
        <f>IF(E11&lt;10000,"⚠ BELOW BUFFER",IF(E11&lt;25000,"Tight","OK"))</f>
        <v/>
      </c>
    </row>
    <row r="12">
      <c r="A12" s="8" t="inlineStr">
        <is>
          <t>2027-03</t>
        </is>
      </c>
      <c r="B12" s="5">
        <f>E11</f>
        <v/>
      </c>
      <c r="C12" s="8" t="n">
        <v>0</v>
      </c>
      <c r="D12" s="8" t="n">
        <v>0</v>
      </c>
      <c r="E12" s="5">
        <f>B12+C12-D12</f>
        <v/>
      </c>
      <c r="F12" s="5">
        <f>IF(E12&lt;10000,"⚠ BELOW BUFFER",IF(E12&lt;25000,"Tight","OK"))</f>
        <v/>
      </c>
    </row>
    <row r="13">
      <c r="A13" s="8" t="inlineStr">
        <is>
          <t>2027-04</t>
        </is>
      </c>
      <c r="B13" s="5">
        <f>E12</f>
        <v/>
      </c>
      <c r="C13" s="8" t="n">
        <v>0</v>
      </c>
      <c r="D13" s="8" t="n">
        <v>0</v>
      </c>
      <c r="E13" s="5">
        <f>B13+C13-D13</f>
        <v/>
      </c>
      <c r="F13" s="5">
        <f>IF(E13&lt;10000,"⚠ BELOW BUFFER",IF(E13&lt;25000,"Tight","OK"))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6" customWidth="1" min="4" max="4"/>
    <col width="28" customWidth="1" min="5" max="5"/>
    <col width="16" customWidth="1" min="6" max="6"/>
    <col width="14" customWidth="1" min="7" max="7"/>
    <col width="16" customWidth="1" min="8" max="8"/>
    <col width="16" customWidth="1" min="9" max="9"/>
    <col width="32" customWidth="1" min="10" max="10"/>
  </cols>
  <sheetData>
    <row r="1" ht="36" customHeight="1">
      <c r="A1" s="4" t="inlineStr">
        <is>
          <t>Asset</t>
        </is>
      </c>
      <c r="B1" s="4" t="inlineStr">
        <is>
          <t>Category</t>
        </is>
      </c>
      <c r="C1" s="4" t="inlineStr">
        <is>
          <t>Purchased on</t>
        </is>
      </c>
      <c r="D1" s="4" t="inlineStr">
        <is>
          <t>Purchase price (₹)</t>
        </is>
      </c>
      <c r="E1" s="4" t="inlineStr">
        <is>
          <t>Supplier</t>
        </is>
      </c>
      <c r="F1" s="4" t="inlineStr">
        <is>
          <t>Linked Money Out ID</t>
        </is>
      </c>
      <c r="G1" s="4" t="inlineStr">
        <is>
          <t>Useful life (months)</t>
        </is>
      </c>
      <c r="H1" s="4" t="inlineStr">
        <is>
          <t>Monthly depreciation (₹)</t>
        </is>
      </c>
      <c r="I1" s="4" t="inlineStr">
        <is>
          <t>Net book value (₹)</t>
        </is>
      </c>
      <c r="J1" s="4" t="inlineStr">
        <is>
          <t>Notes</t>
        </is>
      </c>
    </row>
    <row r="2">
      <c r="A2" s="8" t="inlineStr">
        <is>
          <t>Morphy Richards Besta Black 52 OTG</t>
        </is>
      </c>
      <c r="B2" s="8" t="inlineStr">
        <is>
          <t>Oven</t>
        </is>
      </c>
      <c r="C2" s="6" t="n">
        <v>45505</v>
      </c>
      <c r="D2" s="8" t="n">
        <v>0</v>
      </c>
      <c r="E2" s="8" t="inlineStr">
        <is>
          <t>(pre-existing equipment)</t>
        </is>
      </c>
      <c r="G2" s="8" t="n">
        <v>60</v>
      </c>
      <c r="H2" s="5">
        <f>IFERROR(D2/G2,"")</f>
        <v/>
      </c>
      <c r="I2" s="5">
        <f>IFERROR(D2-(H2*MIN((TODAY()-C2)/30.4,G2)),"")</f>
        <v/>
      </c>
      <c r="J2" s="8" t="inlineStr">
        <is>
          <t>Already owned. Zero capex but tracked for depreciation/replacement clock.</t>
        </is>
      </c>
    </row>
    <row r="3">
      <c r="A3" s="8" t="inlineStr">
        <is>
          <t>KitchenAid 5KSM150 Stand Mixer</t>
        </is>
      </c>
      <c r="B3" s="8" t="inlineStr">
        <is>
          <t>Mixer</t>
        </is>
      </c>
      <c r="C3" s="6" t="n">
        <v>46154</v>
      </c>
      <c r="D3" s="8" t="n">
        <v>38000</v>
      </c>
      <c r="E3" s="8" t="inlineStr">
        <is>
          <t>KitchenAid India (Amazon)</t>
        </is>
      </c>
      <c r="F3" s="8" t="inlineStr">
        <is>
          <t>MOUT-0010</t>
        </is>
      </c>
      <c r="G3" s="8" t="n">
        <v>36</v>
      </c>
      <c r="H3" s="5">
        <f>IFERROR(D3/G3,"")</f>
        <v/>
      </c>
      <c r="I3" s="5">
        <f>IFERROR(D3-(H3*MIN((TODAY()-C3)/30.4,G3)),"")</f>
        <v/>
      </c>
      <c r="J3" s="8" t="inlineStr">
        <is>
          <t>Replaces Philips hand mixer. 2-year warranty.</t>
        </is>
      </c>
    </row>
    <row r="4">
      <c r="A4" s="8" t="inlineStr">
        <is>
          <t>Convection Oven (TBD — Borosil / Whirlpool)</t>
        </is>
      </c>
      <c r="B4" s="8" t="inlineStr">
        <is>
          <t>Oven</t>
        </is>
      </c>
      <c r="D4" s="8" t="n">
        <v>25000</v>
      </c>
      <c r="E4" s="8" t="inlineStr">
        <is>
          <t>(planned)</t>
        </is>
      </c>
      <c r="G4" s="8" t="n">
        <v>60</v>
      </c>
      <c r="H4" s="5">
        <f>IFERROR(D4/G4,"")</f>
        <v/>
      </c>
      <c r="I4" s="5">
        <f>IFERROR(D4-(H4*MIN((TODAY()-C4)/30.4,G4)),"")</f>
        <v/>
      </c>
      <c r="J4" s="8" t="inlineStr">
        <is>
          <t>Stream 1 evaluation pending. Phase 2 spend.</t>
        </is>
      </c>
    </row>
    <row r="5">
      <c r="A5" s="8" t="inlineStr">
        <is>
          <t>Digital weighing scale 5kg</t>
        </is>
      </c>
      <c r="B5" s="8" t="inlineStr">
        <is>
          <t>Tools</t>
        </is>
      </c>
      <c r="C5" s="6" t="n">
        <v>46154</v>
      </c>
      <c r="D5" s="8" t="n">
        <v>1200</v>
      </c>
      <c r="E5" s="8" t="inlineStr">
        <is>
          <t>Amazon</t>
        </is>
      </c>
      <c r="G5" s="8" t="n">
        <v>36</v>
      </c>
      <c r="H5" s="5">
        <f>IFERROR(D5/G5,"")</f>
        <v/>
      </c>
      <c r="I5" s="5">
        <f>IFERROR(D5-(H5*MIN((TODAY()-C5)/30.4,G5)),"")</f>
        <v/>
      </c>
      <c r="J5" s="8" t="inlineStr">
        <is>
          <t>Precision needed for premium eggless. Bundled with mixer purchase.</t>
        </is>
      </c>
    </row>
    <row r="6">
      <c r="A6" s="8" t="inlineStr">
        <is>
          <t>Cake turntables (×2) + offset spatulas (×3)</t>
        </is>
      </c>
      <c r="B6" s="8" t="inlineStr">
        <is>
          <t>Tools</t>
        </is>
      </c>
      <c r="C6" s="6" t="n">
        <v>46154</v>
      </c>
      <c r="D6" s="8" t="n">
        <v>1500</v>
      </c>
      <c r="E6" s="8" t="inlineStr">
        <is>
          <t>Amazon</t>
        </is>
      </c>
      <c r="G6" s="8" t="n">
        <v>24</v>
      </c>
      <c r="H6" s="5">
        <f>IFERROR(D6/G6,"")</f>
        <v/>
      </c>
      <c r="I6" s="5">
        <f>IFERROR(D6-(H6*MIN((TODAY()-C6)/30.4,G6)),"")</f>
        <v/>
      </c>
      <c r="J6" s="8" t="inlineStr">
        <is>
          <t>Standard decorating kit upgrade.</t>
        </is>
      </c>
    </row>
    <row r="7">
      <c r="H7" s="5">
        <f>IFERROR(D7/G7,"")</f>
        <v/>
      </c>
      <c r="I7" s="5">
        <f>IFERROR(D7-(H7*MIN((TODAY()-C7)/30.4,G7)),"")</f>
        <v/>
      </c>
    </row>
    <row r="8">
      <c r="H8" s="5">
        <f>IFERROR(D8/G8,"")</f>
        <v/>
      </c>
      <c r="I8" s="5">
        <f>IFERROR(D8-(H8*MIN((TODAY()-C8)/30.4,G8)),"")</f>
        <v/>
      </c>
    </row>
    <row r="9">
      <c r="H9" s="5">
        <f>IFERROR(D9/G9,"")</f>
        <v/>
      </c>
      <c r="I9" s="5">
        <f>IFERROR(D9-(H9*MIN((TODAY()-C9)/30.4,G9)),"")</f>
        <v/>
      </c>
    </row>
    <row r="10">
      <c r="H10" s="5">
        <f>IFERROR(D10/G10,"")</f>
        <v/>
      </c>
      <c r="I10" s="5">
        <f>IFERROR(D10-(H10*MIN((TODAY()-C10)/30.4,G10)),"")</f>
        <v/>
      </c>
    </row>
    <row r="11">
      <c r="H11" s="5">
        <f>IFERROR(D11/G11,"")</f>
        <v/>
      </c>
      <c r="I11" s="5">
        <f>IFERROR(D11-(H11*MIN((TODAY()-C11)/30.4,G11)),"")</f>
        <v/>
      </c>
    </row>
    <row r="12">
      <c r="H12" s="5">
        <f>IFERROR(D12/G12,"")</f>
        <v/>
      </c>
      <c r="I12" s="5">
        <f>IFERROR(D12-(H12*MIN((TODAY()-C12)/30.4,G12)),"")</f>
        <v/>
      </c>
    </row>
    <row r="13">
      <c r="H13" s="5">
        <f>IFERROR(D13/G13,"")</f>
        <v/>
      </c>
      <c r="I13" s="5">
        <f>IFERROR(D13-(H13*MIN((TODAY()-C13)/30.4,G13)),"")</f>
        <v/>
      </c>
    </row>
    <row r="14">
      <c r="H14" s="5">
        <f>IFERROR(D14/G14,"")</f>
        <v/>
      </c>
      <c r="I14" s="5">
        <f>IFERROR(D14-(H14*MIN((TODAY()-C14)/30.4,G14)),"")</f>
        <v/>
      </c>
    </row>
    <row r="15">
      <c r="H15" s="5">
        <f>IFERROR(D15/G15,"")</f>
        <v/>
      </c>
      <c r="I15" s="5">
        <f>IFERROR(D15-(H15*MIN((TODAY()-C15)/30.4,G15)),"")</f>
        <v/>
      </c>
    </row>
    <row r="16">
      <c r="H16" s="5">
        <f>IFERROR(D16/G16,"")</f>
        <v/>
      </c>
      <c r="I16" s="5">
        <f>IFERROR(D16-(H16*MIN((TODAY()-C16)/30.4,G16)),"")</f>
        <v/>
      </c>
    </row>
    <row r="17">
      <c r="H17" s="5">
        <f>IFERROR(D17/G17,"")</f>
        <v/>
      </c>
      <c r="I17" s="5">
        <f>IFERROR(D17-(H17*MIN((TODAY()-C17)/30.4,G17)),"")</f>
        <v/>
      </c>
    </row>
    <row r="18">
      <c r="H18" s="5">
        <f>IFERROR(D18/G18,"")</f>
        <v/>
      </c>
      <c r="I18" s="5">
        <f>IFERROR(D18-(H18*MIN((TODAY()-C18)/30.4,G18)),"")</f>
        <v/>
      </c>
    </row>
    <row r="19">
      <c r="H19" s="5">
        <f>IFERROR(D19/G19,"")</f>
        <v/>
      </c>
      <c r="I19" s="5">
        <f>IFERROR(D19-(H19*MIN((TODAY()-C19)/30.4,G19)),"")</f>
        <v/>
      </c>
    </row>
    <row r="20">
      <c r="H20" s="5">
        <f>IFERROR(D20/G20,"")</f>
        <v/>
      </c>
      <c r="I20" s="5">
        <f>IFERROR(D20-(H20*MIN((TODAY()-C20)/30.4,G20)),"")</f>
        <v/>
      </c>
    </row>
    <row r="21">
      <c r="H21" s="5">
        <f>IFERROR(D21/G21,"")</f>
        <v/>
      </c>
      <c r="I21" s="5">
        <f>IFERROR(D21-(H21*MIN((TODAY()-C21)/30.4,G21)),"")</f>
        <v/>
      </c>
    </row>
    <row r="22">
      <c r="H22" s="5">
        <f>IFERROR(D22/G22,"")</f>
        <v/>
      </c>
      <c r="I22" s="5">
        <f>IFERROR(D22-(H22*MIN((TODAY()-C22)/30.4,G22)),"")</f>
        <v/>
      </c>
    </row>
    <row r="23">
      <c r="H23" s="5">
        <f>IFERROR(D23/G23,"")</f>
        <v/>
      </c>
      <c r="I23" s="5">
        <f>IFERROR(D23-(H23*MIN((TODAY()-C23)/30.4,G23)),"")</f>
        <v/>
      </c>
    </row>
    <row r="24">
      <c r="H24" s="5">
        <f>IFERROR(D24/G24,"")</f>
        <v/>
      </c>
      <c r="I24" s="5">
        <f>IFERROR(D24-(H24*MIN((TODAY()-C24)/30.4,G24)),"")</f>
        <v/>
      </c>
    </row>
    <row r="25">
      <c r="H25" s="5">
        <f>IFERROR(D25/G25,"")</f>
        <v/>
      </c>
      <c r="I25" s="5">
        <f>IFERROR(D25-(H25*MIN((TODAY()-C25)/30.4,G25)),"")</f>
        <v/>
      </c>
    </row>
    <row r="26">
      <c r="H26" s="5">
        <f>IFERROR(D26/G26,"")</f>
        <v/>
      </c>
      <c r="I26" s="5">
        <f>IFERROR(D26-(H26*MIN((TODAY()-C26)/30.4,G26)),"")</f>
        <v/>
      </c>
    </row>
    <row r="27">
      <c r="H27" s="5">
        <f>IFERROR(D27/G27,"")</f>
        <v/>
      </c>
      <c r="I27" s="5">
        <f>IFERROR(D27-(H27*MIN((TODAY()-C27)/30.4,G27)),"")</f>
        <v/>
      </c>
    </row>
    <row r="28">
      <c r="H28" s="5">
        <f>IFERROR(D28/G28,"")</f>
        <v/>
      </c>
      <c r="I28" s="5">
        <f>IFERROR(D28-(H28*MIN((TODAY()-C28)/30.4,G28)),"")</f>
        <v/>
      </c>
    </row>
    <row r="29">
      <c r="H29" s="5">
        <f>IFERROR(D29/G29,"")</f>
        <v/>
      </c>
      <c r="I29" s="5">
        <f>IFERROR(D29-(H29*MIN((TODAY()-C29)/30.4,G29)),"")</f>
        <v/>
      </c>
    </row>
    <row r="30">
      <c r="H30" s="5">
        <f>IFERROR(D30/G30,"")</f>
        <v/>
      </c>
      <c r="I30" s="5">
        <f>IFERROR(D30-(H30*MIN((TODAY()-C30)/30.4,G30)),"")</f>
        <v/>
      </c>
    </row>
    <row r="31">
      <c r="H31" s="5">
        <f>IFERROR(D31/G31,"")</f>
        <v/>
      </c>
      <c r="I31" s="5">
        <f>IFERROR(D31-(H31*MIN((TODAY()-C31)/30.4,G31)),"")</f>
        <v/>
      </c>
    </row>
    <row r="32">
      <c r="H32" s="5">
        <f>IFERROR(D32/G32,"")</f>
        <v/>
      </c>
      <c r="I32" s="5">
        <f>IFERROR(D32-(H32*MIN((TODAY()-C32)/30.4,G32)),"")</f>
        <v/>
      </c>
    </row>
    <row r="33">
      <c r="H33" s="5">
        <f>IFERROR(D33/G33,"")</f>
        <v/>
      </c>
      <c r="I33" s="5">
        <f>IFERROR(D33-(H33*MIN((TODAY()-C33)/30.4,G33)),"")</f>
        <v/>
      </c>
    </row>
    <row r="34">
      <c r="H34" s="5">
        <f>IFERROR(D34/G34,"")</f>
        <v/>
      </c>
      <c r="I34" s="5">
        <f>IFERROR(D34-(H34*MIN((TODAY()-C34)/30.4,G34)),"")</f>
        <v/>
      </c>
    </row>
    <row r="35">
      <c r="H35" s="5">
        <f>IFERROR(D35/G35,"")</f>
        <v/>
      </c>
      <c r="I35" s="5">
        <f>IFERROR(D35-(H35*MIN((TODAY()-C35)/30.4,G35)),"")</f>
        <v/>
      </c>
    </row>
    <row r="36">
      <c r="H36" s="5">
        <f>IFERROR(D36/G36,"")</f>
        <v/>
      </c>
      <c r="I36" s="5">
        <f>IFERROR(D36-(H36*MIN((TODAY()-C36)/30.4,G36)),"")</f>
        <v/>
      </c>
    </row>
    <row r="37">
      <c r="H37" s="5">
        <f>IFERROR(D37/G37,"")</f>
        <v/>
      </c>
      <c r="I37" s="5">
        <f>IFERROR(D37-(H37*MIN((TODAY()-C37)/30.4,G37)),"")</f>
        <v/>
      </c>
    </row>
    <row r="38">
      <c r="H38" s="5">
        <f>IFERROR(D38/G38,"")</f>
        <v/>
      </c>
      <c r="I38" s="5">
        <f>IFERROR(D38-(H38*MIN((TODAY()-C38)/30.4,G38)),"")</f>
        <v/>
      </c>
    </row>
    <row r="39">
      <c r="H39" s="5">
        <f>IFERROR(D39/G39,"")</f>
        <v/>
      </c>
      <c r="I39" s="5">
        <f>IFERROR(D39-(H39*MIN((TODAY()-C39)/30.4,G39)),"")</f>
        <v/>
      </c>
    </row>
    <row r="40">
      <c r="H40" s="5">
        <f>IFERROR(D40/G40,"")</f>
        <v/>
      </c>
      <c r="I40" s="5">
        <f>IFERROR(D40-(H40*MIN((TODAY()-C40)/30.4,G40)),"")</f>
        <v/>
      </c>
    </row>
    <row r="41">
      <c r="H41" s="5">
        <f>IFERROR(D41/G41,"")</f>
        <v/>
      </c>
      <c r="I41" s="5">
        <f>IFERROR(D41-(H41*MIN((TODAY()-C41)/30.4,G41)),"")</f>
        <v/>
      </c>
    </row>
    <row r="42">
      <c r="H42" s="5">
        <f>IFERROR(D42/G42,"")</f>
        <v/>
      </c>
      <c r="I42" s="5">
        <f>IFERROR(D42-(H42*MIN((TODAY()-C42)/30.4,G42)),"")</f>
        <v/>
      </c>
    </row>
    <row r="43">
      <c r="H43" s="5">
        <f>IFERROR(D43/G43,"")</f>
        <v/>
      </c>
      <c r="I43" s="5">
        <f>IFERROR(D43-(H43*MIN((TODAY()-C43)/30.4,G43)),"")</f>
        <v/>
      </c>
    </row>
    <row r="44">
      <c r="H44" s="5">
        <f>IFERROR(D44/G44,"")</f>
        <v/>
      </c>
      <c r="I44" s="5">
        <f>IFERROR(D44-(H44*MIN((TODAY()-C44)/30.4,G44)),"")</f>
        <v/>
      </c>
    </row>
    <row r="45">
      <c r="H45" s="5">
        <f>IFERROR(D45/G45,"")</f>
        <v/>
      </c>
      <c r="I45" s="5">
        <f>IFERROR(D45-(H45*MIN((TODAY()-C45)/30.4,G45)),"")</f>
        <v/>
      </c>
    </row>
    <row r="46">
      <c r="H46" s="5">
        <f>IFERROR(D46/G46,"")</f>
        <v/>
      </c>
      <c r="I46" s="5">
        <f>IFERROR(D46-(H46*MIN((TODAY()-C46)/30.4,G46)),"")</f>
        <v/>
      </c>
    </row>
    <row r="47">
      <c r="H47" s="5">
        <f>IFERROR(D47/G47,"")</f>
        <v/>
      </c>
      <c r="I47" s="5">
        <f>IFERROR(D47-(H47*MIN((TODAY()-C47)/30.4,G47)),"")</f>
        <v/>
      </c>
    </row>
    <row r="48">
      <c r="H48" s="5">
        <f>IFERROR(D48/G48,"")</f>
        <v/>
      </c>
      <c r="I48" s="5">
        <f>IFERROR(D48-(H48*MIN((TODAY()-C48)/30.4,G48)),"")</f>
        <v/>
      </c>
    </row>
    <row r="49">
      <c r="H49" s="5">
        <f>IFERROR(D49/G49,"")</f>
        <v/>
      </c>
      <c r="I49" s="5">
        <f>IFERROR(D49-(H49*MIN((TODAY()-C49)/30.4,G49)),"")</f>
        <v/>
      </c>
    </row>
    <row r="50">
      <c r="H50" s="5">
        <f>IFERROR(D50/G50,"")</f>
        <v/>
      </c>
      <c r="I50" s="5">
        <f>IFERROR(D50-(H50*MIN((TODAY()-C50)/30.4,G50)),"")</f>
        <v/>
      </c>
    </row>
    <row r="51">
      <c r="H51" s="5">
        <f>IFERROR(D51/G51,"")</f>
        <v/>
      </c>
      <c r="I51" s="5">
        <f>IFERROR(D51-(H51*MIN((TODAY()-C51)/30.4,G51)),"")</f>
        <v/>
      </c>
    </row>
    <row r="52">
      <c r="H52" s="5">
        <f>IFERROR(D52/G52,"")</f>
        <v/>
      </c>
      <c r="I52" s="5">
        <f>IFERROR(D52-(H52*MIN((TODAY()-C52)/30.4,G52)),"")</f>
        <v/>
      </c>
    </row>
    <row r="53">
      <c r="H53" s="5">
        <f>IFERROR(D53/G53,"")</f>
        <v/>
      </c>
      <c r="I53" s="5">
        <f>IFERROR(D53-(H53*MIN((TODAY()-C53)/30.4,G53)),"")</f>
        <v/>
      </c>
    </row>
    <row r="54">
      <c r="H54" s="5">
        <f>IFERROR(D54/G54,"")</f>
        <v/>
      </c>
      <c r="I54" s="5">
        <f>IFERROR(D54-(H54*MIN((TODAY()-C54)/30.4,G54)),"")</f>
        <v/>
      </c>
    </row>
    <row r="55">
      <c r="H55" s="5">
        <f>IFERROR(D55/G55,"")</f>
        <v/>
      </c>
      <c r="I55" s="5">
        <f>IFERROR(D55-(H55*MIN((TODAY()-C55)/30.4,G55)),"")</f>
        <v/>
      </c>
    </row>
    <row r="56">
      <c r="H56" s="5">
        <f>IFERROR(D56/G56,"")</f>
        <v/>
      </c>
      <c r="I56" s="5">
        <f>IFERROR(D56-(H56*MIN((TODAY()-C56)/30.4,G56)),"")</f>
        <v/>
      </c>
    </row>
    <row r="57">
      <c r="H57" s="5">
        <f>IFERROR(D57/G57,"")</f>
        <v/>
      </c>
      <c r="I57" s="5">
        <f>IFERROR(D57-(H57*MIN((TODAY()-C57)/30.4,G57)),"")</f>
        <v/>
      </c>
    </row>
    <row r="58">
      <c r="H58" s="5">
        <f>IFERROR(D58/G58,"")</f>
        <v/>
      </c>
      <c r="I58" s="5">
        <f>IFERROR(D58-(H58*MIN((TODAY()-C58)/30.4,G58)),"")</f>
        <v/>
      </c>
    </row>
    <row r="59">
      <c r="H59" s="5">
        <f>IFERROR(D59/G59,"")</f>
        <v/>
      </c>
      <c r="I59" s="5">
        <f>IFERROR(D59-(H59*MIN((TODAY()-C59)/30.4,G59)),"")</f>
        <v/>
      </c>
    </row>
    <row r="60">
      <c r="H60" s="5">
        <f>IFERROR(D60/G60,"")</f>
        <v/>
      </c>
      <c r="I60" s="5">
        <f>IFERROR(D60-(H60*MIN((TODAY()-C60)/30.4,G60)),"")</f>
        <v/>
      </c>
    </row>
    <row r="61">
      <c r="H61" s="5">
        <f>IFERROR(D61/G61,"")</f>
        <v/>
      </c>
      <c r="I61" s="5">
        <f>IFERROR(D61-(H61*MIN((TODAY()-C61)/30.4,G61)),"")</f>
        <v/>
      </c>
    </row>
    <row r="62">
      <c r="H62" s="5">
        <f>IFERROR(D62/G62,"")</f>
        <v/>
      </c>
      <c r="I62" s="5">
        <f>IFERROR(D62-(H62*MIN((TODAY()-C62)/30.4,G62)),"")</f>
        <v/>
      </c>
    </row>
    <row r="63">
      <c r="H63" s="5">
        <f>IFERROR(D63/G63,"")</f>
        <v/>
      </c>
      <c r="I63" s="5">
        <f>IFERROR(D63-(H63*MIN((TODAY()-C63)/30.4,G63)),"")</f>
        <v/>
      </c>
    </row>
    <row r="64">
      <c r="H64" s="5">
        <f>IFERROR(D64/G64,"")</f>
        <v/>
      </c>
      <c r="I64" s="5">
        <f>IFERROR(D64-(H64*MIN((TODAY()-C64)/30.4,G64)),"")</f>
        <v/>
      </c>
    </row>
    <row r="65">
      <c r="H65" s="5">
        <f>IFERROR(D65/G65,"")</f>
        <v/>
      </c>
      <c r="I65" s="5">
        <f>IFERROR(D65-(H65*MIN((TODAY()-C65)/30.4,G65)),"")</f>
        <v/>
      </c>
    </row>
    <row r="66">
      <c r="H66" s="5">
        <f>IFERROR(D66/G66,"")</f>
        <v/>
      </c>
      <c r="I66" s="5">
        <f>IFERROR(D66-(H66*MIN((TODAY()-C66)/30.4,G66)),"")</f>
        <v/>
      </c>
    </row>
    <row r="67">
      <c r="H67" s="5">
        <f>IFERROR(D67/G67,"")</f>
        <v/>
      </c>
      <c r="I67" s="5">
        <f>IFERROR(D67-(H67*MIN((TODAY()-C67)/30.4,G67)),"")</f>
        <v/>
      </c>
    </row>
    <row r="68">
      <c r="H68" s="5">
        <f>IFERROR(D68/G68,"")</f>
        <v/>
      </c>
      <c r="I68" s="5">
        <f>IFERROR(D68-(H68*MIN((TODAY()-C68)/30.4,G68)),"")</f>
        <v/>
      </c>
    </row>
    <row r="69">
      <c r="H69" s="5">
        <f>IFERROR(D69/G69,"")</f>
        <v/>
      </c>
      <c r="I69" s="5">
        <f>IFERROR(D69-(H69*MIN((TODAY()-C69)/30.4,G69)),"")</f>
        <v/>
      </c>
    </row>
    <row r="70">
      <c r="H70" s="5">
        <f>IFERROR(D70/G70,"")</f>
        <v/>
      </c>
      <c r="I70" s="5">
        <f>IFERROR(D70-(H70*MIN((TODAY()-C70)/30.4,G70)),"")</f>
        <v/>
      </c>
    </row>
    <row r="71">
      <c r="H71" s="5">
        <f>IFERROR(D71/G71,"")</f>
        <v/>
      </c>
      <c r="I71" s="5">
        <f>IFERROR(D71-(H71*MIN((TODAY()-C71)/30.4,G71)),"")</f>
        <v/>
      </c>
    </row>
    <row r="72">
      <c r="H72" s="5">
        <f>IFERROR(D72/G72,"")</f>
        <v/>
      </c>
      <c r="I72" s="5">
        <f>IFERROR(D72-(H72*MIN((TODAY()-C72)/30.4,G72)),"")</f>
        <v/>
      </c>
    </row>
    <row r="73">
      <c r="H73" s="5">
        <f>IFERROR(D73/G73,"")</f>
        <v/>
      </c>
      <c r="I73" s="5">
        <f>IFERROR(D73-(H73*MIN((TODAY()-C73)/30.4,G73)),"")</f>
        <v/>
      </c>
    </row>
    <row r="74">
      <c r="H74" s="5">
        <f>IFERROR(D74/G74,"")</f>
        <v/>
      </c>
      <c r="I74" s="5">
        <f>IFERROR(D74-(H74*MIN((TODAY()-C74)/30.4,G74)),"")</f>
        <v/>
      </c>
    </row>
    <row r="75">
      <c r="H75" s="5">
        <f>IFERROR(D75/G75,"")</f>
        <v/>
      </c>
      <c r="I75" s="5">
        <f>IFERROR(D75-(H75*MIN((TODAY()-C75)/30.4,G75)),"")</f>
        <v/>
      </c>
    </row>
    <row r="76">
      <c r="H76" s="5">
        <f>IFERROR(D76/G76,"")</f>
        <v/>
      </c>
      <c r="I76" s="5">
        <f>IFERROR(D76-(H76*MIN((TODAY()-C76)/30.4,G76)),"")</f>
        <v/>
      </c>
    </row>
    <row r="77">
      <c r="H77" s="5">
        <f>IFERROR(D77/G77,"")</f>
        <v/>
      </c>
      <c r="I77" s="5">
        <f>IFERROR(D77-(H77*MIN((TODAY()-C77)/30.4,G77)),"")</f>
        <v/>
      </c>
    </row>
    <row r="78">
      <c r="H78" s="5">
        <f>IFERROR(D78/G78,"")</f>
        <v/>
      </c>
      <c r="I78" s="5">
        <f>IFERROR(D78-(H78*MIN((TODAY()-C78)/30.4,G78)),"")</f>
        <v/>
      </c>
    </row>
    <row r="79">
      <c r="H79" s="5">
        <f>IFERROR(D79/G79,"")</f>
        <v/>
      </c>
      <c r="I79" s="5">
        <f>IFERROR(D79-(H79*MIN((TODAY()-C79)/30.4,G79)),"")</f>
        <v/>
      </c>
    </row>
    <row r="80">
      <c r="H80" s="5">
        <f>IFERROR(D80/G80,"")</f>
        <v/>
      </c>
      <c r="I80" s="5">
        <f>IFERROR(D80-(H80*MIN((TODAY()-C80)/30.4,G80)),"")</f>
        <v/>
      </c>
    </row>
    <row r="81">
      <c r="H81" s="5">
        <f>IFERROR(D81/G81,"")</f>
        <v/>
      </c>
      <c r="I81" s="5">
        <f>IFERROR(D81-(H81*MIN((TODAY()-C81)/30.4,G81)),"")</f>
        <v/>
      </c>
    </row>
    <row r="82">
      <c r="H82" s="5">
        <f>IFERROR(D82/G82,"")</f>
        <v/>
      </c>
      <c r="I82" s="5">
        <f>IFERROR(D82-(H82*MIN((TODAY()-C82)/30.4,G82)),"")</f>
        <v/>
      </c>
    </row>
    <row r="83">
      <c r="H83" s="5">
        <f>IFERROR(D83/G83,"")</f>
        <v/>
      </c>
      <c r="I83" s="5">
        <f>IFERROR(D83-(H83*MIN((TODAY()-C83)/30.4,G83)),"")</f>
        <v/>
      </c>
    </row>
    <row r="84">
      <c r="H84" s="5">
        <f>IFERROR(D84/G84,"")</f>
        <v/>
      </c>
      <c r="I84" s="5">
        <f>IFERROR(D84-(H84*MIN((TODAY()-C84)/30.4,G84)),"")</f>
        <v/>
      </c>
    </row>
    <row r="85">
      <c r="H85" s="5">
        <f>IFERROR(D85/G85,"")</f>
        <v/>
      </c>
      <c r="I85" s="5">
        <f>IFERROR(D85-(H85*MIN((TODAY()-C85)/30.4,G85)),"")</f>
        <v/>
      </c>
    </row>
    <row r="86">
      <c r="H86" s="5">
        <f>IFERROR(D86/G86,"")</f>
        <v/>
      </c>
      <c r="I86" s="5">
        <f>IFERROR(D86-(H86*MIN((TODAY()-C86)/30.4,G86)),"")</f>
        <v/>
      </c>
    </row>
    <row r="87">
      <c r="H87" s="5">
        <f>IFERROR(D87/G87,"")</f>
        <v/>
      </c>
      <c r="I87" s="5">
        <f>IFERROR(D87-(H87*MIN((TODAY()-C87)/30.4,G87)),"")</f>
        <v/>
      </c>
    </row>
    <row r="88">
      <c r="H88" s="5">
        <f>IFERROR(D88/G88,"")</f>
        <v/>
      </c>
      <c r="I88" s="5">
        <f>IFERROR(D88-(H88*MIN((TODAY()-C88)/30.4,G88)),"")</f>
        <v/>
      </c>
    </row>
    <row r="89">
      <c r="H89" s="5">
        <f>IFERROR(D89/G89,"")</f>
        <v/>
      </c>
      <c r="I89" s="5">
        <f>IFERROR(D89-(H89*MIN((TODAY()-C89)/30.4,G89)),"")</f>
        <v/>
      </c>
    </row>
    <row r="90">
      <c r="H90" s="5">
        <f>IFERROR(D90/G90,"")</f>
        <v/>
      </c>
      <c r="I90" s="5">
        <f>IFERROR(D90-(H90*MIN((TODAY()-C90)/30.4,G90)),"")</f>
        <v/>
      </c>
    </row>
    <row r="91">
      <c r="H91" s="5">
        <f>IFERROR(D91/G91,"")</f>
        <v/>
      </c>
      <c r="I91" s="5">
        <f>IFERROR(D91-(H91*MIN((TODAY()-C91)/30.4,G91)),"")</f>
        <v/>
      </c>
    </row>
    <row r="92">
      <c r="H92" s="5">
        <f>IFERROR(D92/G92,"")</f>
        <v/>
      </c>
      <c r="I92" s="5">
        <f>IFERROR(D92-(H92*MIN((TODAY()-C92)/30.4,G92)),"")</f>
        <v/>
      </c>
    </row>
    <row r="93">
      <c r="H93" s="5">
        <f>IFERROR(D93/G93,"")</f>
        <v/>
      </c>
      <c r="I93" s="5">
        <f>IFERROR(D93-(H93*MIN((TODAY()-C93)/30.4,G93)),"")</f>
        <v/>
      </c>
    </row>
    <row r="94">
      <c r="H94" s="5">
        <f>IFERROR(D94/G94,"")</f>
        <v/>
      </c>
      <c r="I94" s="5">
        <f>IFERROR(D94-(H94*MIN((TODAY()-C94)/30.4,G94)),"")</f>
        <v/>
      </c>
    </row>
    <row r="95">
      <c r="H95" s="5">
        <f>IFERROR(D95/G95,"")</f>
        <v/>
      </c>
      <c r="I95" s="5">
        <f>IFERROR(D95-(H95*MIN((TODAY()-C95)/30.4,G95)),"")</f>
        <v/>
      </c>
    </row>
    <row r="96">
      <c r="H96" s="5">
        <f>IFERROR(D96/G96,"")</f>
        <v/>
      </c>
      <c r="I96" s="5">
        <f>IFERROR(D96-(H96*MIN((TODAY()-C96)/30.4,G96)),"")</f>
        <v/>
      </c>
    </row>
    <row r="97">
      <c r="H97" s="5">
        <f>IFERROR(D97/G97,"")</f>
        <v/>
      </c>
      <c r="I97" s="5">
        <f>IFERROR(D97-(H97*MIN((TODAY()-C97)/30.4,G97)),"")</f>
        <v/>
      </c>
    </row>
    <row r="98">
      <c r="H98" s="5">
        <f>IFERROR(D98/G98,"")</f>
        <v/>
      </c>
      <c r="I98" s="5">
        <f>IFERROR(D98-(H98*MIN((TODAY()-C98)/30.4,G98)),"")</f>
        <v/>
      </c>
    </row>
    <row r="99">
      <c r="H99" s="5">
        <f>IFERROR(D99/G99,"")</f>
        <v/>
      </c>
      <c r="I99" s="5">
        <f>IFERROR(D99-(H99*MIN((TODAY()-C99)/30.4,G99)),"")</f>
        <v/>
      </c>
    </row>
    <row r="100">
      <c r="H100" s="5">
        <f>IFERROR(D100/G100,"")</f>
        <v/>
      </c>
      <c r="I100" s="5">
        <f>IFERROR(D100-(H100*MIN((TODAY()-C100)/30.4,G100)),"")</f>
        <v/>
      </c>
    </row>
    <row r="101">
      <c r="H101" s="5">
        <f>IFERROR(D101/G101,"")</f>
        <v/>
      </c>
      <c r="I101" s="5">
        <f>IFERROR(D101-(H101*MIN((TODAY()-C101)/30.4,G101)),"")</f>
        <v/>
      </c>
    </row>
  </sheetData>
  <dataValidations count="1">
    <dataValidation sqref="B2:B1000" showDropDown="0" showInputMessage="0" showErrorMessage="0" allowBlank="1" type="list">
      <formula1>"Oven,Mixer,Refrigeration,Tools,Furniture,Other"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8" customWidth="1" min="5" max="5"/>
    <col width="36" customWidth="1" min="6" max="6"/>
  </cols>
  <sheetData>
    <row r="1" ht="36" customHeight="1">
      <c r="A1" s="4" t="inlineStr">
        <is>
          <t>Date</t>
        </is>
      </c>
      <c r="B1" s="4" t="inlineStr">
        <is>
          <t>To</t>
        </is>
      </c>
      <c r="C1" s="4" t="inlineStr">
        <is>
          <t>Amount (₹)</t>
        </is>
      </c>
      <c r="D1" s="4" t="inlineStr">
        <is>
          <t>Purpose</t>
        </is>
      </c>
      <c r="E1" s="4" t="inlineStr">
        <is>
          <t>Linked Money Out ID</t>
        </is>
      </c>
      <c r="F1" s="4" t="inlineStr">
        <is>
          <t>Notes</t>
        </is>
      </c>
    </row>
    <row r="2">
      <c r="A2" s="6" t="n">
        <v>46157</v>
      </c>
      <c r="B2" s="8" t="inlineStr">
        <is>
          <t>Swetha</t>
        </is>
      </c>
      <c r="C2" s="8" t="n">
        <v>15000</v>
      </c>
      <c r="D2" s="8" t="inlineStr">
        <is>
          <t>Salary</t>
        </is>
      </c>
      <c r="E2" s="8" t="inlineStr">
        <is>
          <t>MOUT-0011</t>
        </is>
      </c>
      <c r="F2" s="8" t="inlineStr">
        <is>
          <t>May salary equivalent</t>
        </is>
      </c>
    </row>
    <row r="3">
      <c r="A3" s="6" t="n">
        <v>46157</v>
      </c>
      <c r="B3" s="8" t="inlineStr">
        <is>
          <t>Shreya</t>
        </is>
      </c>
      <c r="C3" s="8" t="n">
        <v>15000</v>
      </c>
      <c r="D3" s="8" t="inlineStr">
        <is>
          <t>Salary</t>
        </is>
      </c>
      <c r="E3" s="8" t="inlineStr">
        <is>
          <t>MOUT-0012</t>
        </is>
      </c>
      <c r="F3" s="8" t="inlineStr">
        <is>
          <t>May salary equivalent</t>
        </is>
      </c>
    </row>
    <row r="4">
      <c r="A4" s="6" t="n">
        <v>46142</v>
      </c>
      <c r="B4" s="8" t="inlineStr">
        <is>
          <t>Joint</t>
        </is>
      </c>
      <c r="C4" s="8" t="n">
        <v>8000</v>
      </c>
      <c r="D4" s="8" t="inlineStr">
        <is>
          <t>Profit Distribution</t>
        </is>
      </c>
      <c r="F4" s="8" t="inlineStr">
        <is>
          <t>April surplus distribution; ₹4K each (logged jointly)</t>
        </is>
      </c>
    </row>
  </sheetData>
  <dataValidations count="2">
    <dataValidation sqref="B2:B1000" showDropDown="0" showInputMessage="0" showErrorMessage="0" allowBlank="1" type="list">
      <formula1>"Swetha,Shreya,Joint"</formula1>
    </dataValidation>
    <dataValidation sqref="D2:D1000" showDropDown="0" showInputMessage="0" showErrorMessage="0" allowBlank="1" type="list">
      <formula1>"Salary,Reimbursement,Profit Distribution,Loan Repayment,Other"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2026-05-24T15:22:24Z</dcterms:created>
  <dcterms:modified xmlns:dcterms="http://purl.org/dc/terms/" xmlns:xsi="http://www.w3.org/2001/XMLSchema-instance" xsi:type="dcterms:W3CDTF">2026-05-24T15:22:24Z</dcterms:modified>
</cp:coreProperties>
</file>