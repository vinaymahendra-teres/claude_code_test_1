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quiries" sheetId="2" state="visible" r:id="rId2"/>
    <sheet xmlns:r="http://schemas.openxmlformats.org/officeDocument/2006/relationships" name="Customers" sheetId="3" state="visible" r:id="rId3"/>
    <sheet xmlns:r="http://schemas.openxmlformats.org/officeDocument/2006/relationships" name="Orders" sheetId="4" state="visible" r:id="rId4"/>
    <sheet xmlns:r="http://schemas.openxmlformats.org/officeDocument/2006/relationships" name="Occasions" sheetId="5" state="visible" r:id="rId5"/>
    <sheet xmlns:r="http://schemas.openxmlformats.org/officeDocument/2006/relationships" name="Capacity Calendar" sheetId="6" state="visible" r:id="rId6"/>
    <sheet xmlns:r="http://schemas.openxmlformats.org/officeDocument/2006/relationships" name="Occasions Calenda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F2937"/>
      <sz val="18"/>
    </font>
    <font>
      <i val="1"/>
      <color rgb="006B7280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FF6FF"/>
      </patternFill>
    </fill>
    <fill>
      <patternFill patternType="solid">
        <f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3" borderId="0" pivotButton="0" quotePrefix="0" xfId="0"/>
    <xf numFmtId="164" fontId="0" fillId="4" borderId="0" pivotButton="0" quotePrefix="0" xfId="0"/>
    <xf numFmtId="0" fontId="0" fillId="4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Tiered Cake Company — CRM</t>
        </is>
      </c>
    </row>
    <row r="3">
      <c r="A3" t="inlineStr">
        <is>
          <t>Owners: Swetha (S) · Shreya (Sh)</t>
        </is>
      </c>
    </row>
    <row r="4">
      <c r="A4" t="inlineStr">
        <is>
          <t>Geography: Hyderabad (catchment: Eterna, Provincia, broader Financial District / Narsingi)</t>
        </is>
      </c>
    </row>
    <row r="5">
      <c r="A5" s="2" t="inlineStr">
        <is>
          <t>Generated: 2026-05-24</t>
        </is>
      </c>
    </row>
    <row r="7">
      <c r="A7" t="inlineStr"/>
    </row>
    <row r="8">
      <c r="A8" s="3" t="inlineStr">
        <is>
          <t>1. IMPORT INTO GOOGLE SHEETS</t>
        </is>
      </c>
    </row>
    <row r="9">
      <c r="A9" t="inlineStr">
        <is>
          <t xml:space="preserve">   - Open https://sheets.google.com</t>
        </is>
      </c>
    </row>
    <row r="10">
      <c r="A10" t="inlineStr">
        <is>
          <t xml:space="preserve">   - File → Import → Upload → select this .xlsx → 'Replace spreadsheet'</t>
        </is>
      </c>
    </row>
    <row r="11">
      <c r="A11" t="inlineStr">
        <is>
          <t xml:space="preserve">   - All formulas, validations, and the 60-day capacity calendar carry across</t>
        </is>
      </c>
    </row>
    <row r="12">
      <c r="A12" t="inlineStr"/>
    </row>
    <row r="13">
      <c r="A13" s="3" t="inlineStr">
        <is>
          <t>2. SAMPLE DATA (highlighted yellow) is realistic but fictional</t>
        </is>
      </c>
    </row>
    <row r="14">
      <c r="A14" t="inlineStr">
        <is>
          <t xml:space="preserve">   - 10 customers across Rajapushpa Eterna and Rajapushpa Provincia</t>
        </is>
      </c>
    </row>
    <row r="15">
      <c r="A15" t="inlineStr">
        <is>
          <t xml:space="preserve">   - 10 orders (mix of delivered, in production, queued)</t>
        </is>
      </c>
    </row>
    <row r="16">
      <c r="A16" t="inlineStr">
        <is>
          <t xml:space="preserve">   - 8 inquiries (mix of New / Quoted / Confirmed / Lost)</t>
        </is>
      </c>
    </row>
    <row r="17">
      <c r="A17" t="inlineStr">
        <is>
          <t xml:space="preserve">   - 14 occasions seeded for the calendar projection</t>
        </is>
      </c>
    </row>
    <row r="18">
      <c r="A18" t="inlineStr">
        <is>
          <t xml:space="preserve">   - DELETE all yellow rows before you start using the sheet for real</t>
        </is>
      </c>
    </row>
    <row r="19">
      <c r="A19" t="inlineStr"/>
    </row>
    <row r="20">
      <c r="A20" s="3" t="inlineStr">
        <is>
          <t>3. SET UP THE GOOGLE FORM (see crm_strategy.md §6)</t>
        </is>
      </c>
    </row>
    <row r="21">
      <c r="A21" t="inlineStr">
        <is>
          <t xml:space="preserve">   - Form → link responses to this spreadsheet → choose 'Inquiries' as destination</t>
        </is>
      </c>
    </row>
    <row r="22">
      <c r="A22" t="inlineStr"/>
    </row>
    <row r="23">
      <c r="A23" s="3" t="inlineStr">
        <is>
          <t>4. INSTALL APPS SCRIPT (see brainstorming/crm_sheets/apps_script/)</t>
        </is>
      </c>
    </row>
    <row r="24">
      <c r="A24" t="inlineStr">
        <is>
          <t xml:space="preserve">   - Extensions → Apps Script → paste each .gs file into a new script file</t>
        </is>
      </c>
    </row>
    <row r="25">
      <c r="A25" t="inlineStr">
        <is>
          <t xml:space="preserve">   - Authorise the scopes when prompted (Gmail, Sheets, Forms)</t>
        </is>
      </c>
    </row>
    <row r="26">
      <c r="A26" t="inlineStr">
        <is>
          <t xml:space="preserve">   - Triggers tab → add the triggers listed in each script's header comment</t>
        </is>
      </c>
    </row>
    <row r="27">
      <c r="A27" t="inlineStr"/>
    </row>
    <row r="28">
      <c r="A28" s="3" t="inlineStr">
        <is>
          <t>5. TAB OWNERS (don't drift)</t>
        </is>
      </c>
    </row>
    <row r="29">
      <c r="A29" t="inlineStr">
        <is>
          <t xml:space="preserve">   - Inquiries          → Sh writes, S reads</t>
        </is>
      </c>
    </row>
    <row r="30">
      <c r="A30" t="inlineStr">
        <is>
          <t xml:space="preserve">   - Customers          → Sh writes, S reads</t>
        </is>
      </c>
    </row>
    <row r="31">
      <c r="A31" t="inlineStr">
        <is>
          <t xml:space="preserve">   - Orders             → S writes, Sh reads</t>
        </is>
      </c>
    </row>
    <row r="32">
      <c r="A32" t="inlineStr">
        <is>
          <t xml:space="preserve">   - Occasions          → Sh writes</t>
        </is>
      </c>
    </row>
    <row r="33">
      <c r="A33" t="inlineStr">
        <is>
          <t xml:space="preserve">   - Capacity Calendar  → S writes totals; usage rolls up automatically</t>
        </is>
      </c>
    </row>
    <row r="34">
      <c r="A34" t="inlineStr">
        <is>
          <t xml:space="preserve">   - Occasions Calendar → derived view; read-only</t>
        </is>
      </c>
    </row>
    <row r="35">
      <c r="A35" t="inlineStr"/>
    </row>
    <row r="36">
      <c r="A36" s="3" t="inlineStr">
        <is>
          <t>6. DPDP CONSENT IS A HARD GATE</t>
        </is>
      </c>
    </row>
    <row r="37">
      <c r="A37" t="inlineStr">
        <is>
          <t xml:space="preserve">   - Occasions Calendar QUERY filters Marketing consent = 'Y'</t>
        </is>
      </c>
    </row>
    <row r="38">
      <c r="A38" t="inlineStr">
        <is>
          <t xml:space="preserve">   - Customers default = 'N'. Flip to 'Y' only with a screenshot of the YES</t>
        </is>
      </c>
    </row>
    <row r="39">
      <c r="A39" t="inlineStr"/>
    </row>
    <row r="40">
      <c r="A40" s="3" t="inlineStr">
        <is>
          <t>7. REGENERATE THIS FILE</t>
        </is>
      </c>
    </row>
    <row r="41">
      <c r="A41" t="inlineStr">
        <is>
          <t xml:space="preserve">   - python3 build_xlsx.py  (in brainstorming/crm_sheets/)</t>
        </is>
      </c>
    </row>
    <row r="42">
      <c r="A42" t="inlineStr"/>
    </row>
    <row r="43">
      <c r="A43" t="inlineStr">
        <is>
          <t>FORMULA CELLS are shaded blue. EXAMPLE rows are shaded yellow.</t>
        </is>
      </c>
    </row>
    <row r="44">
      <c r="A44" t="inlineStr">
        <is>
          <t>Header row is dark; freeze panes set on row 1 of every tab.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8" customWidth="1" min="4" max="4"/>
    <col width="16" customWidth="1" min="5" max="5"/>
    <col width="16" customWidth="1" min="6" max="6"/>
    <col width="12" customWidth="1" min="7" max="7"/>
    <col width="30" customWidth="1" min="8" max="8"/>
    <col width="14" customWidth="1" min="9" max="9"/>
    <col width="11" customWidth="1" min="10" max="10"/>
    <col width="13" customWidth="1" min="11" max="11"/>
    <col width="11" customWidth="1" min="12" max="12"/>
    <col width="32" customWidth="1" min="13" max="13"/>
    <col width="16" customWidth="1" min="14" max="14"/>
    <col width="14" customWidth="1" min="15" max="15"/>
    <col width="18" customWidth="1" min="16" max="16"/>
    <col width="18" customWidth="1" min="17" max="17"/>
  </cols>
  <sheetData>
    <row r="1" ht="36" customHeight="1">
      <c r="A1" s="4" t="inlineStr">
        <is>
          <t>Inquiry ID</t>
        </is>
      </c>
      <c r="B1" s="4" t="inlineStr">
        <is>
          <t>Date received</t>
        </is>
      </c>
      <c r="C1" s="4" t="inlineStr">
        <is>
          <t>Channel</t>
        </is>
      </c>
      <c r="D1" s="4" t="inlineStr">
        <is>
          <t>Name</t>
        </is>
      </c>
      <c r="E1" s="4" t="inlineStr">
        <is>
          <t>Phone</t>
        </is>
      </c>
      <c r="F1" s="4" t="inlineStr">
        <is>
          <t>Occasion</t>
        </is>
      </c>
      <c r="G1" s="4" t="inlineStr">
        <is>
          <t>Event date</t>
        </is>
      </c>
      <c r="H1" s="4" t="inlineStr">
        <is>
          <t>What they want</t>
        </is>
      </c>
      <c r="I1" s="4" t="inlineStr">
        <is>
          <t>Budget hint</t>
        </is>
      </c>
      <c r="J1" s="4" t="inlineStr">
        <is>
          <t>Status</t>
        </is>
      </c>
      <c r="K1" s="4" t="inlineStr">
        <is>
          <t>Assigned to</t>
        </is>
      </c>
      <c r="L1" s="4" t="inlineStr">
        <is>
          <t>Quoted (₹)</t>
        </is>
      </c>
      <c r="M1" s="4" t="inlineStr">
        <is>
          <t>Notes</t>
        </is>
      </c>
      <c r="N1" s="4" t="inlineStr">
        <is>
          <t>Lost reason</t>
        </is>
      </c>
      <c r="O1" s="4" t="inlineStr">
        <is>
          <t>Consent (Y/N)</t>
        </is>
      </c>
      <c r="P1" s="4" t="inlineStr">
        <is>
          <t>Logged at</t>
        </is>
      </c>
      <c r="Q1" s="4" t="inlineStr">
        <is>
          <t>Customer ID (if promoted)</t>
        </is>
      </c>
    </row>
    <row r="2">
      <c r="A2" s="5">
        <f>IF(B2="","","INQ-"&amp;TEXT(ROW()-1,"0000"))</f>
        <v/>
      </c>
      <c r="B2" s="6" t="n">
        <v>46165</v>
      </c>
      <c r="C2" s="7" t="inlineStr">
        <is>
          <t>Instagram</t>
        </is>
      </c>
      <c r="D2" s="7" t="inlineStr">
        <is>
          <t>Meera Joshi</t>
        </is>
      </c>
      <c r="E2" s="7" t="inlineStr">
        <is>
          <t>+919811001100</t>
        </is>
      </c>
      <c r="F2" s="7" t="inlineStr">
        <is>
          <t>Birthday (kid)</t>
        </is>
      </c>
      <c r="G2" s="6" t="n">
        <v>46181</v>
      </c>
      <c r="H2" s="7" t="inlineStr">
        <is>
          <t>2kg cake — Frozen / Elsa theme for daughter turning 6</t>
        </is>
      </c>
      <c r="I2" s="7" t="inlineStr">
        <is>
          <t>₹3500-4000</t>
        </is>
      </c>
      <c r="J2" s="7" t="inlineStr">
        <is>
          <t>Quoted</t>
        </is>
      </c>
      <c r="K2" s="7" t="inlineStr">
        <is>
          <t>Shreya</t>
        </is>
      </c>
      <c r="L2" s="7" t="n">
        <v>3800</v>
      </c>
      <c r="M2" s="7" t="inlineStr">
        <is>
          <t>Lives in Provincia (Tower 7); referral from Lakshmi Nair</t>
        </is>
      </c>
      <c r="O2" s="7" t="inlineStr">
        <is>
          <t>Y</t>
        </is>
      </c>
      <c r="P2" s="5">
        <f>IF(B2="","",NOW())</f>
        <v/>
      </c>
    </row>
    <row r="3">
      <c r="A3" s="5">
        <f>IF(B3="","","INQ-"&amp;TEXT(ROW()-1,"0000"))</f>
        <v/>
      </c>
      <c r="B3" s="6" t="n">
        <v>46165</v>
      </c>
      <c r="C3" s="7" t="inlineStr">
        <is>
          <t>WhatsApp</t>
        </is>
      </c>
      <c r="D3" s="7" t="inlineStr">
        <is>
          <t>Tarun Saini</t>
        </is>
      </c>
      <c r="E3" s="7" t="inlineStr">
        <is>
          <t>+919822002200</t>
        </is>
      </c>
      <c r="F3" s="7" t="inlineStr">
        <is>
          <t>Anniversary</t>
        </is>
      </c>
      <c r="G3" s="6" t="n">
        <v>46174</v>
      </c>
      <c r="H3" s="7" t="inlineStr">
        <is>
          <t>1kg eggless chocolate cake; surprise for wife</t>
        </is>
      </c>
      <c r="I3" s="7" t="inlineStr">
        <is>
          <t>~₹2000</t>
        </is>
      </c>
      <c r="J3" s="7" t="inlineStr">
        <is>
          <t>Confirmed</t>
        </is>
      </c>
      <c r="K3" s="7" t="inlineStr">
        <is>
          <t>Shreya</t>
        </is>
      </c>
      <c r="L3" s="7" t="n">
        <v>2200</v>
      </c>
      <c r="M3" s="7" t="inlineStr">
        <is>
          <t>Eterna resident, Tower 3. Promote to Customers post-delivery.</t>
        </is>
      </c>
      <c r="O3" s="7" t="inlineStr">
        <is>
          <t>Y</t>
        </is>
      </c>
      <c r="P3" s="5">
        <f>IF(B3="","",NOW())</f>
        <v/>
      </c>
    </row>
    <row r="4">
      <c r="A4" s="5">
        <f>IF(B4="","","INQ-"&amp;TEXT(ROW()-1,"0000"))</f>
        <v/>
      </c>
      <c r="B4" s="6" t="n">
        <v>46164</v>
      </c>
      <c r="C4" s="7" t="inlineStr">
        <is>
          <t>WhatsApp</t>
        </is>
      </c>
      <c r="D4" s="7" t="inlineStr">
        <is>
          <t>Kavya Iyer</t>
        </is>
      </c>
      <c r="E4" s="7" t="inlineStr">
        <is>
          <t>+919833003300</t>
        </is>
      </c>
      <c r="F4" s="7" t="inlineStr">
        <is>
          <t>Just Because</t>
        </is>
      </c>
      <c r="H4" s="7" t="inlineStr">
        <is>
          <t>Box of bomboloni — pistachio favourite</t>
        </is>
      </c>
      <c r="I4" s="7" t="inlineStr">
        <is>
          <t>?</t>
        </is>
      </c>
      <c r="J4" s="7" t="inlineStr">
        <is>
          <t>New</t>
        </is>
      </c>
      <c r="K4" s="7" t="inlineStr">
        <is>
          <t>Shreya</t>
        </is>
      </c>
      <c r="M4" s="7" t="inlineStr">
        <is>
          <t>Friend of Arjun Mehta (CUS-0001). No event date — sometime in June</t>
        </is>
      </c>
      <c r="O4" s="7" t="inlineStr">
        <is>
          <t>N</t>
        </is>
      </c>
      <c r="P4" s="5">
        <f>IF(B4="","",NOW())</f>
        <v/>
      </c>
    </row>
    <row r="5">
      <c r="A5" s="5">
        <f>IF(B5="","","INQ-"&amp;TEXT(ROW()-1,"0000"))</f>
        <v/>
      </c>
      <c r="B5" s="6" t="n">
        <v>46163</v>
      </c>
      <c r="C5" s="7" t="inlineStr">
        <is>
          <t>Instagram</t>
        </is>
      </c>
      <c r="D5" s="7" t="inlineStr">
        <is>
          <t>Naveen Pillai</t>
        </is>
      </c>
      <c r="E5" s="7" t="inlineStr">
        <is>
          <t>+919844004400</t>
        </is>
      </c>
      <c r="F5" s="7" t="inlineStr">
        <is>
          <t>Corporate</t>
        </is>
      </c>
      <c r="G5" s="6" t="n">
        <v>46188</v>
      </c>
      <c r="H5" s="7" t="inlineStr">
        <is>
          <t>30 brownies + 30 cupcakes for office event (Cyberabad)</t>
        </is>
      </c>
      <c r="I5" s="7" t="inlineStr">
        <is>
          <t>₹10000 ceiling</t>
        </is>
      </c>
      <c r="J5" s="7" t="inlineStr">
        <is>
          <t>Lost</t>
        </is>
      </c>
      <c r="K5" s="7" t="inlineStr">
        <is>
          <t>Shreya</t>
        </is>
      </c>
      <c r="L5" s="7" t="n">
        <v>9500</v>
      </c>
      <c r="M5" s="7" t="inlineStr">
        <is>
          <t>Wanted invoice with GST; we're not GST-registered yet. Lost on this.</t>
        </is>
      </c>
      <c r="N5" s="7" t="inlineStr">
        <is>
          <t>Other</t>
        </is>
      </c>
      <c r="O5" s="7" t="inlineStr">
        <is>
          <t>N</t>
        </is>
      </c>
      <c r="P5" s="5">
        <f>IF(B5="","",NOW())</f>
        <v/>
      </c>
    </row>
    <row r="6">
      <c r="A6" s="5">
        <f>IF(B6="","","INQ-"&amp;TEXT(ROW()-1,"0000"))</f>
        <v/>
      </c>
      <c r="B6" s="6" t="n">
        <v>46162</v>
      </c>
      <c r="C6" s="7" t="inlineStr">
        <is>
          <t>WhatsApp</t>
        </is>
      </c>
      <c r="D6" s="7" t="inlineStr">
        <is>
          <t>Pooja Bansal</t>
        </is>
      </c>
      <c r="E6" s="7" t="inlineStr">
        <is>
          <t>+919855005500</t>
        </is>
      </c>
      <c r="F6" s="7" t="inlineStr">
        <is>
          <t>Birthday</t>
        </is>
      </c>
      <c r="G6" s="6" t="n">
        <v>46167</v>
      </c>
      <c r="H6" s="7" t="inlineStr">
        <is>
          <t>1kg cake, eggless, any flavour</t>
        </is>
      </c>
      <c r="I6" s="7" t="inlineStr">
        <is>
          <t>&lt;₹2000</t>
        </is>
      </c>
      <c r="J6" s="7" t="inlineStr">
        <is>
          <t>Lost</t>
        </is>
      </c>
      <c r="K6" s="7" t="inlineStr">
        <is>
          <t>Shreya</t>
        </is>
      </c>
      <c r="M6" s="7" t="inlineStr">
        <is>
          <t>Date already full (Sunday). Politely declined; suggested next week.</t>
        </is>
      </c>
      <c r="N6" s="7" t="inlineStr">
        <is>
          <t>Date unavailable</t>
        </is>
      </c>
      <c r="O6" s="7" t="inlineStr">
        <is>
          <t>N</t>
        </is>
      </c>
      <c r="P6" s="5">
        <f>IF(B6="","",NOW())</f>
        <v/>
      </c>
    </row>
    <row r="7">
      <c r="A7" s="5">
        <f>IF(B7="","","INQ-"&amp;TEXT(ROW()-1,"0000"))</f>
        <v/>
      </c>
      <c r="B7" s="6" t="n">
        <v>46166</v>
      </c>
      <c r="C7" s="7" t="inlineStr">
        <is>
          <t>Referral</t>
        </is>
      </c>
      <c r="D7" s="7" t="inlineStr">
        <is>
          <t>Rajiv Khanna</t>
        </is>
      </c>
      <c r="E7" s="7" t="inlineStr">
        <is>
          <t>+919866006600</t>
        </is>
      </c>
      <c r="F7" s="7" t="inlineStr">
        <is>
          <t>Wedding</t>
        </is>
      </c>
      <c r="G7" s="6" t="n">
        <v>46248</v>
      </c>
      <c r="H7" s="7" t="inlineStr">
        <is>
          <t>Multi-tier wedding cake — daughter's wedding in August</t>
        </is>
      </c>
      <c r="I7" s="7" t="inlineStr">
        <is>
          <t>₹15000-25000</t>
        </is>
      </c>
      <c r="J7" s="7" t="inlineStr">
        <is>
          <t>New</t>
        </is>
      </c>
      <c r="K7" s="7" t="inlineStr">
        <is>
          <t>Shreya</t>
        </is>
      </c>
      <c r="M7" s="7" t="inlineStr">
        <is>
          <t>BIG one. Provincia (Tower 9); referred by Anjali Agarwal. Site visit needed.</t>
        </is>
      </c>
      <c r="O7" s="7" t="inlineStr">
        <is>
          <t>Y</t>
        </is>
      </c>
      <c r="P7" s="5">
        <f>IF(B7="","",NOW())</f>
        <v/>
      </c>
    </row>
    <row r="8">
      <c r="A8" s="5">
        <f>IF(B8="","","INQ-"&amp;TEXT(ROW()-1,"0000"))</f>
        <v/>
      </c>
      <c r="B8" s="6" t="n">
        <v>46152</v>
      </c>
      <c r="C8" s="7" t="inlineStr">
        <is>
          <t>Referral</t>
        </is>
      </c>
      <c r="D8" s="7" t="inlineStr">
        <is>
          <t>Aditi Saxena</t>
        </is>
      </c>
      <c r="E8" s="7" t="inlineStr">
        <is>
          <t>+919877889900</t>
        </is>
      </c>
      <c r="F8" s="7" t="inlineStr">
        <is>
          <t>Just Because</t>
        </is>
      </c>
      <c r="G8" s="6" t="n">
        <v>46173</v>
      </c>
      <c r="H8" s="7" t="inlineStr">
        <is>
          <t>Bomboloni box for dinner party</t>
        </is>
      </c>
      <c r="I8" s="7" t="inlineStr">
        <is>
          <t>~₹1400</t>
        </is>
      </c>
      <c r="J8" s="7" t="inlineStr">
        <is>
          <t>Confirmed</t>
        </is>
      </c>
      <c r="K8" s="7" t="inlineStr">
        <is>
          <t>Shreya</t>
        </is>
      </c>
      <c r="L8" s="7" t="n">
        <v>1400</v>
      </c>
      <c r="M8" s="7" t="inlineStr">
        <is>
          <t>Referred by Lakshmi Nair</t>
        </is>
      </c>
      <c r="O8" s="7" t="inlineStr">
        <is>
          <t>Y</t>
        </is>
      </c>
      <c r="P8" s="5">
        <f>IF(B8="","",NOW())</f>
        <v/>
      </c>
      <c r="Q8" s="7" t="inlineStr">
        <is>
          <t>CUS-0010</t>
        </is>
      </c>
    </row>
    <row r="9">
      <c r="A9" s="5">
        <f>IF(B9="","","INQ-"&amp;TEXT(ROW()-1,"0000"))</f>
        <v/>
      </c>
      <c r="B9" s="6" t="n">
        <v>46160</v>
      </c>
      <c r="C9" s="7" t="inlineStr">
        <is>
          <t>Instagram</t>
        </is>
      </c>
      <c r="D9" s="7" t="inlineStr">
        <is>
          <t>Sneha Iyer</t>
        </is>
      </c>
      <c r="E9" s="7" t="inlineStr">
        <is>
          <t>+919822334455</t>
        </is>
      </c>
      <c r="F9" s="7" t="inlineStr">
        <is>
          <t>Birthday</t>
        </is>
      </c>
      <c r="G9" s="6" t="n">
        <v>46164</v>
      </c>
      <c r="H9" s="7" t="inlineStr">
        <is>
          <t>1kg eggless butterscotch — minimalist</t>
        </is>
      </c>
      <c r="I9" s="7" t="inlineStr">
        <is>
          <t>₹2200</t>
        </is>
      </c>
      <c r="J9" s="7" t="inlineStr">
        <is>
          <t>Confirmed</t>
        </is>
      </c>
      <c r="K9" s="7" t="inlineStr">
        <is>
          <t>Shreya</t>
        </is>
      </c>
      <c r="L9" s="7" t="n">
        <v>2200</v>
      </c>
      <c r="M9" s="7" t="inlineStr">
        <is>
          <t>First-time customer; husband initiated chat, Sneha is decision-maker</t>
        </is>
      </c>
      <c r="O9" s="7" t="inlineStr">
        <is>
          <t>Y</t>
        </is>
      </c>
      <c r="P9" s="5">
        <f>IF(B9="","",NOW())</f>
        <v/>
      </c>
      <c r="Q9" s="7" t="inlineStr">
        <is>
          <t>CUS-0008</t>
        </is>
      </c>
    </row>
    <row r="10">
      <c r="A10" s="5">
        <f>IF(B10="","","INQ-"&amp;TEXT(ROW()-1,"0000"))</f>
        <v/>
      </c>
      <c r="P10" s="5">
        <f>IF(B10="","",NOW())</f>
        <v/>
      </c>
    </row>
    <row r="11">
      <c r="A11" s="5">
        <f>IF(B11="","","INQ-"&amp;TEXT(ROW()-1,"0000"))</f>
        <v/>
      </c>
      <c r="P11" s="5">
        <f>IF(B11="","",NOW())</f>
        <v/>
      </c>
    </row>
    <row r="12">
      <c r="A12" s="5">
        <f>IF(B12="","","INQ-"&amp;TEXT(ROW()-1,"0000"))</f>
        <v/>
      </c>
      <c r="P12" s="5">
        <f>IF(B12="","",NOW())</f>
        <v/>
      </c>
    </row>
    <row r="13">
      <c r="A13" s="5">
        <f>IF(B13="","","INQ-"&amp;TEXT(ROW()-1,"0000"))</f>
        <v/>
      </c>
      <c r="P13" s="5">
        <f>IF(B13="","",NOW())</f>
        <v/>
      </c>
    </row>
    <row r="14">
      <c r="A14" s="5">
        <f>IF(B14="","","INQ-"&amp;TEXT(ROW()-1,"0000"))</f>
        <v/>
      </c>
      <c r="P14" s="5">
        <f>IF(B14="","",NOW())</f>
        <v/>
      </c>
    </row>
    <row r="15">
      <c r="A15" s="5">
        <f>IF(B15="","","INQ-"&amp;TEXT(ROW()-1,"0000"))</f>
        <v/>
      </c>
      <c r="P15" s="5">
        <f>IF(B15="","",NOW())</f>
        <v/>
      </c>
    </row>
    <row r="16">
      <c r="A16" s="5">
        <f>IF(B16="","","INQ-"&amp;TEXT(ROW()-1,"0000"))</f>
        <v/>
      </c>
      <c r="P16" s="5">
        <f>IF(B16="","",NOW())</f>
        <v/>
      </c>
    </row>
    <row r="17">
      <c r="A17" s="5">
        <f>IF(B17="","","INQ-"&amp;TEXT(ROW()-1,"0000"))</f>
        <v/>
      </c>
      <c r="P17" s="5">
        <f>IF(B17="","",NOW())</f>
        <v/>
      </c>
    </row>
    <row r="18">
      <c r="A18" s="5">
        <f>IF(B18="","","INQ-"&amp;TEXT(ROW()-1,"0000"))</f>
        <v/>
      </c>
      <c r="P18" s="5">
        <f>IF(B18="","",NOW())</f>
        <v/>
      </c>
    </row>
    <row r="19">
      <c r="A19" s="5">
        <f>IF(B19="","","INQ-"&amp;TEXT(ROW()-1,"0000"))</f>
        <v/>
      </c>
      <c r="P19" s="5">
        <f>IF(B19="","",NOW())</f>
        <v/>
      </c>
    </row>
    <row r="20">
      <c r="A20" s="5">
        <f>IF(B20="","","INQ-"&amp;TEXT(ROW()-1,"0000"))</f>
        <v/>
      </c>
      <c r="P20" s="5">
        <f>IF(B20="","",NOW())</f>
        <v/>
      </c>
    </row>
    <row r="21">
      <c r="A21" s="5">
        <f>IF(B21="","","INQ-"&amp;TEXT(ROW()-1,"0000"))</f>
        <v/>
      </c>
      <c r="P21" s="5">
        <f>IF(B21="","",NOW())</f>
        <v/>
      </c>
    </row>
    <row r="22">
      <c r="A22" s="5">
        <f>IF(B22="","","INQ-"&amp;TEXT(ROW()-1,"0000"))</f>
        <v/>
      </c>
      <c r="P22" s="5">
        <f>IF(B22="","",NOW())</f>
        <v/>
      </c>
    </row>
    <row r="23">
      <c r="A23" s="5">
        <f>IF(B23="","","INQ-"&amp;TEXT(ROW()-1,"0000"))</f>
        <v/>
      </c>
      <c r="P23" s="5">
        <f>IF(B23="","",NOW())</f>
        <v/>
      </c>
    </row>
    <row r="24">
      <c r="A24" s="5">
        <f>IF(B24="","","INQ-"&amp;TEXT(ROW()-1,"0000"))</f>
        <v/>
      </c>
      <c r="P24" s="5">
        <f>IF(B24="","",NOW())</f>
        <v/>
      </c>
    </row>
    <row r="25">
      <c r="A25" s="5">
        <f>IF(B25="","","INQ-"&amp;TEXT(ROW()-1,"0000"))</f>
        <v/>
      </c>
      <c r="P25" s="5">
        <f>IF(B25="","",NOW())</f>
        <v/>
      </c>
    </row>
    <row r="26">
      <c r="A26" s="5">
        <f>IF(B26="","","INQ-"&amp;TEXT(ROW()-1,"0000"))</f>
        <v/>
      </c>
      <c r="P26" s="5">
        <f>IF(B26="","",NOW())</f>
        <v/>
      </c>
    </row>
    <row r="27">
      <c r="A27" s="5">
        <f>IF(B27="","","INQ-"&amp;TEXT(ROW()-1,"0000"))</f>
        <v/>
      </c>
      <c r="P27" s="5">
        <f>IF(B27="","",NOW())</f>
        <v/>
      </c>
    </row>
    <row r="28">
      <c r="A28" s="5">
        <f>IF(B28="","","INQ-"&amp;TEXT(ROW()-1,"0000"))</f>
        <v/>
      </c>
      <c r="P28" s="5">
        <f>IF(B28="","",NOW())</f>
        <v/>
      </c>
    </row>
    <row r="29">
      <c r="A29" s="5">
        <f>IF(B29="","","INQ-"&amp;TEXT(ROW()-1,"0000"))</f>
        <v/>
      </c>
      <c r="P29" s="5">
        <f>IF(B29="","",NOW())</f>
        <v/>
      </c>
    </row>
    <row r="30">
      <c r="A30" s="5">
        <f>IF(B30="","","INQ-"&amp;TEXT(ROW()-1,"0000"))</f>
        <v/>
      </c>
      <c r="P30" s="5">
        <f>IF(B30="","",NOW())</f>
        <v/>
      </c>
    </row>
    <row r="31">
      <c r="A31" s="5">
        <f>IF(B31="","","INQ-"&amp;TEXT(ROW()-1,"0000"))</f>
        <v/>
      </c>
      <c r="P31" s="5">
        <f>IF(B31="","",NOW())</f>
        <v/>
      </c>
    </row>
    <row r="32">
      <c r="A32" s="5">
        <f>IF(B32="","","INQ-"&amp;TEXT(ROW()-1,"0000"))</f>
        <v/>
      </c>
      <c r="P32" s="5">
        <f>IF(B32="","",NOW())</f>
        <v/>
      </c>
    </row>
    <row r="33">
      <c r="A33" s="5">
        <f>IF(B33="","","INQ-"&amp;TEXT(ROW()-1,"0000"))</f>
        <v/>
      </c>
      <c r="P33" s="5">
        <f>IF(B33="","",NOW())</f>
        <v/>
      </c>
    </row>
    <row r="34">
      <c r="A34" s="5">
        <f>IF(B34="","","INQ-"&amp;TEXT(ROW()-1,"0000"))</f>
        <v/>
      </c>
      <c r="P34" s="5">
        <f>IF(B34="","",NOW())</f>
        <v/>
      </c>
    </row>
    <row r="35">
      <c r="A35" s="5">
        <f>IF(B35="","","INQ-"&amp;TEXT(ROW()-1,"0000"))</f>
        <v/>
      </c>
      <c r="P35" s="5">
        <f>IF(B35="","",NOW())</f>
        <v/>
      </c>
    </row>
    <row r="36">
      <c r="A36" s="5">
        <f>IF(B36="","","INQ-"&amp;TEXT(ROW()-1,"0000"))</f>
        <v/>
      </c>
      <c r="P36" s="5">
        <f>IF(B36="","",NOW())</f>
        <v/>
      </c>
    </row>
    <row r="37">
      <c r="A37" s="5">
        <f>IF(B37="","","INQ-"&amp;TEXT(ROW()-1,"0000"))</f>
        <v/>
      </c>
      <c r="P37" s="5">
        <f>IF(B37="","",NOW())</f>
        <v/>
      </c>
    </row>
    <row r="38">
      <c r="A38" s="5">
        <f>IF(B38="","","INQ-"&amp;TEXT(ROW()-1,"0000"))</f>
        <v/>
      </c>
      <c r="P38" s="5">
        <f>IF(B38="","",NOW())</f>
        <v/>
      </c>
    </row>
    <row r="39">
      <c r="A39" s="5">
        <f>IF(B39="","","INQ-"&amp;TEXT(ROW()-1,"0000"))</f>
        <v/>
      </c>
      <c r="P39" s="5">
        <f>IF(B39="","",NOW())</f>
        <v/>
      </c>
    </row>
    <row r="40">
      <c r="A40" s="5">
        <f>IF(B40="","","INQ-"&amp;TEXT(ROW()-1,"0000"))</f>
        <v/>
      </c>
      <c r="P40" s="5">
        <f>IF(B40="","",NOW())</f>
        <v/>
      </c>
    </row>
    <row r="41">
      <c r="A41" s="5">
        <f>IF(B41="","","INQ-"&amp;TEXT(ROW()-1,"0000"))</f>
        <v/>
      </c>
      <c r="P41" s="5">
        <f>IF(B41="","",NOW())</f>
        <v/>
      </c>
    </row>
    <row r="42">
      <c r="A42" s="5">
        <f>IF(B42="","","INQ-"&amp;TEXT(ROW()-1,"0000"))</f>
        <v/>
      </c>
      <c r="P42" s="5">
        <f>IF(B42="","",NOW())</f>
        <v/>
      </c>
    </row>
    <row r="43">
      <c r="A43" s="5">
        <f>IF(B43="","","INQ-"&amp;TEXT(ROW()-1,"0000"))</f>
        <v/>
      </c>
      <c r="P43" s="5">
        <f>IF(B43="","",NOW())</f>
        <v/>
      </c>
    </row>
    <row r="44">
      <c r="A44" s="5">
        <f>IF(B44="","","INQ-"&amp;TEXT(ROW()-1,"0000"))</f>
        <v/>
      </c>
      <c r="P44" s="5">
        <f>IF(B44="","",NOW())</f>
        <v/>
      </c>
    </row>
    <row r="45">
      <c r="A45" s="5">
        <f>IF(B45="","","INQ-"&amp;TEXT(ROW()-1,"0000"))</f>
        <v/>
      </c>
      <c r="P45" s="5">
        <f>IF(B45="","",NOW())</f>
        <v/>
      </c>
    </row>
    <row r="46">
      <c r="A46" s="5">
        <f>IF(B46="","","INQ-"&amp;TEXT(ROW()-1,"0000"))</f>
        <v/>
      </c>
      <c r="P46" s="5">
        <f>IF(B46="","",NOW())</f>
        <v/>
      </c>
    </row>
    <row r="47">
      <c r="A47" s="5">
        <f>IF(B47="","","INQ-"&amp;TEXT(ROW()-1,"0000"))</f>
        <v/>
      </c>
      <c r="P47" s="5">
        <f>IF(B47="","",NOW())</f>
        <v/>
      </c>
    </row>
    <row r="48">
      <c r="A48" s="5">
        <f>IF(B48="","","INQ-"&amp;TEXT(ROW()-1,"0000"))</f>
        <v/>
      </c>
      <c r="P48" s="5">
        <f>IF(B48="","",NOW())</f>
        <v/>
      </c>
    </row>
    <row r="49">
      <c r="A49" s="5">
        <f>IF(B49="","","INQ-"&amp;TEXT(ROW()-1,"0000"))</f>
        <v/>
      </c>
      <c r="P49" s="5">
        <f>IF(B49="","",NOW())</f>
        <v/>
      </c>
    </row>
    <row r="50">
      <c r="A50" s="5">
        <f>IF(B50="","","INQ-"&amp;TEXT(ROW()-1,"0000"))</f>
        <v/>
      </c>
      <c r="P50" s="5">
        <f>IF(B50="","",NOW())</f>
        <v/>
      </c>
    </row>
    <row r="51">
      <c r="A51" s="5">
        <f>IF(B51="","","INQ-"&amp;TEXT(ROW()-1,"0000"))</f>
        <v/>
      </c>
      <c r="P51" s="5">
        <f>IF(B51="","",NOW())</f>
        <v/>
      </c>
    </row>
    <row r="52">
      <c r="A52" s="5">
        <f>IF(B52="","","INQ-"&amp;TEXT(ROW()-1,"0000"))</f>
        <v/>
      </c>
      <c r="P52" s="5">
        <f>IF(B52="","",NOW())</f>
        <v/>
      </c>
    </row>
    <row r="53">
      <c r="A53" s="5">
        <f>IF(B53="","","INQ-"&amp;TEXT(ROW()-1,"0000"))</f>
        <v/>
      </c>
      <c r="P53" s="5">
        <f>IF(B53="","",NOW())</f>
        <v/>
      </c>
    </row>
    <row r="54">
      <c r="A54" s="5">
        <f>IF(B54="","","INQ-"&amp;TEXT(ROW()-1,"0000"))</f>
        <v/>
      </c>
      <c r="P54" s="5">
        <f>IF(B54="","",NOW())</f>
        <v/>
      </c>
    </row>
    <row r="55">
      <c r="A55" s="5">
        <f>IF(B55="","","INQ-"&amp;TEXT(ROW()-1,"0000"))</f>
        <v/>
      </c>
      <c r="P55" s="5">
        <f>IF(B55="","",NOW())</f>
        <v/>
      </c>
    </row>
    <row r="56">
      <c r="A56" s="5">
        <f>IF(B56="","","INQ-"&amp;TEXT(ROW()-1,"0000"))</f>
        <v/>
      </c>
      <c r="P56" s="5">
        <f>IF(B56="","",NOW())</f>
        <v/>
      </c>
    </row>
    <row r="57">
      <c r="A57" s="5">
        <f>IF(B57="","","INQ-"&amp;TEXT(ROW()-1,"0000"))</f>
        <v/>
      </c>
      <c r="P57" s="5">
        <f>IF(B57="","",NOW())</f>
        <v/>
      </c>
    </row>
    <row r="58">
      <c r="A58" s="5">
        <f>IF(B58="","","INQ-"&amp;TEXT(ROW()-1,"0000"))</f>
        <v/>
      </c>
      <c r="P58" s="5">
        <f>IF(B58="","",NOW())</f>
        <v/>
      </c>
    </row>
    <row r="59">
      <c r="A59" s="5">
        <f>IF(B59="","","INQ-"&amp;TEXT(ROW()-1,"0000"))</f>
        <v/>
      </c>
      <c r="P59" s="5">
        <f>IF(B59="","",NOW())</f>
        <v/>
      </c>
    </row>
    <row r="60">
      <c r="A60" s="5">
        <f>IF(B60="","","INQ-"&amp;TEXT(ROW()-1,"0000"))</f>
        <v/>
      </c>
      <c r="P60" s="5">
        <f>IF(B60="","",NOW())</f>
        <v/>
      </c>
    </row>
    <row r="61">
      <c r="A61" s="5">
        <f>IF(B61="","","INQ-"&amp;TEXT(ROW()-1,"0000"))</f>
        <v/>
      </c>
      <c r="P61" s="5">
        <f>IF(B61="","",NOW())</f>
        <v/>
      </c>
    </row>
    <row r="62">
      <c r="A62" s="5">
        <f>IF(B62="","","INQ-"&amp;TEXT(ROW()-1,"0000"))</f>
        <v/>
      </c>
      <c r="P62" s="5">
        <f>IF(B62="","",NOW())</f>
        <v/>
      </c>
    </row>
    <row r="63">
      <c r="A63" s="5">
        <f>IF(B63="","","INQ-"&amp;TEXT(ROW()-1,"0000"))</f>
        <v/>
      </c>
      <c r="P63" s="5">
        <f>IF(B63="","",NOW())</f>
        <v/>
      </c>
    </row>
    <row r="64">
      <c r="A64" s="5">
        <f>IF(B64="","","INQ-"&amp;TEXT(ROW()-1,"0000"))</f>
        <v/>
      </c>
      <c r="P64" s="5">
        <f>IF(B64="","",NOW())</f>
        <v/>
      </c>
    </row>
    <row r="65">
      <c r="A65" s="5">
        <f>IF(B65="","","INQ-"&amp;TEXT(ROW()-1,"0000"))</f>
        <v/>
      </c>
      <c r="P65" s="5">
        <f>IF(B65="","",NOW())</f>
        <v/>
      </c>
    </row>
    <row r="66">
      <c r="A66" s="5">
        <f>IF(B66="","","INQ-"&amp;TEXT(ROW()-1,"0000"))</f>
        <v/>
      </c>
      <c r="P66" s="5">
        <f>IF(B66="","",NOW())</f>
        <v/>
      </c>
    </row>
    <row r="67">
      <c r="A67" s="5">
        <f>IF(B67="","","INQ-"&amp;TEXT(ROW()-1,"0000"))</f>
        <v/>
      </c>
      <c r="P67" s="5">
        <f>IF(B67="","",NOW())</f>
        <v/>
      </c>
    </row>
    <row r="68">
      <c r="A68" s="5">
        <f>IF(B68="","","INQ-"&amp;TEXT(ROW()-1,"0000"))</f>
        <v/>
      </c>
      <c r="P68" s="5">
        <f>IF(B68="","",NOW())</f>
        <v/>
      </c>
    </row>
    <row r="69">
      <c r="A69" s="5">
        <f>IF(B69="","","INQ-"&amp;TEXT(ROW()-1,"0000"))</f>
        <v/>
      </c>
      <c r="P69" s="5">
        <f>IF(B69="","",NOW())</f>
        <v/>
      </c>
    </row>
    <row r="70">
      <c r="A70" s="5">
        <f>IF(B70="","","INQ-"&amp;TEXT(ROW()-1,"0000"))</f>
        <v/>
      </c>
      <c r="P70" s="5">
        <f>IF(B70="","",NOW())</f>
        <v/>
      </c>
    </row>
    <row r="71">
      <c r="A71" s="5">
        <f>IF(B71="","","INQ-"&amp;TEXT(ROW()-1,"0000"))</f>
        <v/>
      </c>
      <c r="P71" s="5">
        <f>IF(B71="","",NOW())</f>
        <v/>
      </c>
    </row>
    <row r="72">
      <c r="A72" s="5">
        <f>IF(B72="","","INQ-"&amp;TEXT(ROW()-1,"0000"))</f>
        <v/>
      </c>
      <c r="P72" s="5">
        <f>IF(B72="","",NOW())</f>
        <v/>
      </c>
    </row>
    <row r="73">
      <c r="A73" s="5">
        <f>IF(B73="","","INQ-"&amp;TEXT(ROW()-1,"0000"))</f>
        <v/>
      </c>
      <c r="P73" s="5">
        <f>IF(B73="","",NOW())</f>
        <v/>
      </c>
    </row>
    <row r="74">
      <c r="A74" s="5">
        <f>IF(B74="","","INQ-"&amp;TEXT(ROW()-1,"0000"))</f>
        <v/>
      </c>
      <c r="P74" s="5">
        <f>IF(B74="","",NOW())</f>
        <v/>
      </c>
    </row>
    <row r="75">
      <c r="A75" s="5">
        <f>IF(B75="","","INQ-"&amp;TEXT(ROW()-1,"0000"))</f>
        <v/>
      </c>
      <c r="P75" s="5">
        <f>IF(B75="","",NOW())</f>
        <v/>
      </c>
    </row>
    <row r="76">
      <c r="A76" s="5">
        <f>IF(B76="","","INQ-"&amp;TEXT(ROW()-1,"0000"))</f>
        <v/>
      </c>
      <c r="P76" s="5">
        <f>IF(B76="","",NOW())</f>
        <v/>
      </c>
    </row>
    <row r="77">
      <c r="A77" s="5">
        <f>IF(B77="","","INQ-"&amp;TEXT(ROW()-1,"0000"))</f>
        <v/>
      </c>
      <c r="P77" s="5">
        <f>IF(B77="","",NOW())</f>
        <v/>
      </c>
    </row>
    <row r="78">
      <c r="A78" s="5">
        <f>IF(B78="","","INQ-"&amp;TEXT(ROW()-1,"0000"))</f>
        <v/>
      </c>
      <c r="P78" s="5">
        <f>IF(B78="","",NOW())</f>
        <v/>
      </c>
    </row>
    <row r="79">
      <c r="A79" s="5">
        <f>IF(B79="","","INQ-"&amp;TEXT(ROW()-1,"0000"))</f>
        <v/>
      </c>
      <c r="P79" s="5">
        <f>IF(B79="","",NOW())</f>
        <v/>
      </c>
    </row>
    <row r="80">
      <c r="A80" s="5">
        <f>IF(B80="","","INQ-"&amp;TEXT(ROW()-1,"0000"))</f>
        <v/>
      </c>
      <c r="P80" s="5">
        <f>IF(B80="","",NOW())</f>
        <v/>
      </c>
    </row>
    <row r="81">
      <c r="A81" s="5">
        <f>IF(B81="","","INQ-"&amp;TEXT(ROW()-1,"0000"))</f>
        <v/>
      </c>
      <c r="P81" s="5">
        <f>IF(B81="","",NOW())</f>
        <v/>
      </c>
    </row>
    <row r="82">
      <c r="A82" s="5">
        <f>IF(B82="","","INQ-"&amp;TEXT(ROW()-1,"0000"))</f>
        <v/>
      </c>
      <c r="P82" s="5">
        <f>IF(B82="","",NOW())</f>
        <v/>
      </c>
    </row>
    <row r="83">
      <c r="A83" s="5">
        <f>IF(B83="","","INQ-"&amp;TEXT(ROW()-1,"0000"))</f>
        <v/>
      </c>
      <c r="P83" s="5">
        <f>IF(B83="","",NOW())</f>
        <v/>
      </c>
    </row>
    <row r="84">
      <c r="A84" s="5">
        <f>IF(B84="","","INQ-"&amp;TEXT(ROW()-1,"0000"))</f>
        <v/>
      </c>
      <c r="P84" s="5">
        <f>IF(B84="","",NOW())</f>
        <v/>
      </c>
    </row>
    <row r="85">
      <c r="A85" s="5">
        <f>IF(B85="","","INQ-"&amp;TEXT(ROW()-1,"0000"))</f>
        <v/>
      </c>
      <c r="P85" s="5">
        <f>IF(B85="","",NOW())</f>
        <v/>
      </c>
    </row>
    <row r="86">
      <c r="A86" s="5">
        <f>IF(B86="","","INQ-"&amp;TEXT(ROW()-1,"0000"))</f>
        <v/>
      </c>
      <c r="P86" s="5">
        <f>IF(B86="","",NOW())</f>
        <v/>
      </c>
    </row>
    <row r="87">
      <c r="A87" s="5">
        <f>IF(B87="","","INQ-"&amp;TEXT(ROW()-1,"0000"))</f>
        <v/>
      </c>
      <c r="P87" s="5">
        <f>IF(B87="","",NOW())</f>
        <v/>
      </c>
    </row>
    <row r="88">
      <c r="A88" s="5">
        <f>IF(B88="","","INQ-"&amp;TEXT(ROW()-1,"0000"))</f>
        <v/>
      </c>
      <c r="P88" s="5">
        <f>IF(B88="","",NOW())</f>
        <v/>
      </c>
    </row>
    <row r="89">
      <c r="A89" s="5">
        <f>IF(B89="","","INQ-"&amp;TEXT(ROW()-1,"0000"))</f>
        <v/>
      </c>
      <c r="P89" s="5">
        <f>IF(B89="","",NOW())</f>
        <v/>
      </c>
    </row>
    <row r="90">
      <c r="A90" s="5">
        <f>IF(B90="","","INQ-"&amp;TEXT(ROW()-1,"0000"))</f>
        <v/>
      </c>
      <c r="P90" s="5">
        <f>IF(B90="","",NOW())</f>
        <v/>
      </c>
    </row>
    <row r="91">
      <c r="A91" s="5">
        <f>IF(B91="","","INQ-"&amp;TEXT(ROW()-1,"0000"))</f>
        <v/>
      </c>
      <c r="P91" s="5">
        <f>IF(B91="","",NOW())</f>
        <v/>
      </c>
    </row>
    <row r="92">
      <c r="A92" s="5">
        <f>IF(B92="","","INQ-"&amp;TEXT(ROW()-1,"0000"))</f>
        <v/>
      </c>
      <c r="P92" s="5">
        <f>IF(B92="","",NOW())</f>
        <v/>
      </c>
    </row>
    <row r="93">
      <c r="A93" s="5">
        <f>IF(B93="","","INQ-"&amp;TEXT(ROW()-1,"0000"))</f>
        <v/>
      </c>
      <c r="P93" s="5">
        <f>IF(B93="","",NOW())</f>
        <v/>
      </c>
    </row>
    <row r="94">
      <c r="A94" s="5">
        <f>IF(B94="","","INQ-"&amp;TEXT(ROW()-1,"0000"))</f>
        <v/>
      </c>
      <c r="P94" s="5">
        <f>IF(B94="","",NOW())</f>
        <v/>
      </c>
    </row>
    <row r="95">
      <c r="A95" s="5">
        <f>IF(B95="","","INQ-"&amp;TEXT(ROW()-1,"0000"))</f>
        <v/>
      </c>
      <c r="P95" s="5">
        <f>IF(B95="","",NOW())</f>
        <v/>
      </c>
    </row>
    <row r="96">
      <c r="A96" s="5">
        <f>IF(B96="","","INQ-"&amp;TEXT(ROW()-1,"0000"))</f>
        <v/>
      </c>
      <c r="P96" s="5">
        <f>IF(B96="","",NOW())</f>
        <v/>
      </c>
    </row>
    <row r="97">
      <c r="A97" s="5">
        <f>IF(B97="","","INQ-"&amp;TEXT(ROW()-1,"0000"))</f>
        <v/>
      </c>
      <c r="P97" s="5">
        <f>IF(B97="","",NOW())</f>
        <v/>
      </c>
    </row>
    <row r="98">
      <c r="A98" s="5">
        <f>IF(B98="","","INQ-"&amp;TEXT(ROW()-1,"0000"))</f>
        <v/>
      </c>
      <c r="P98" s="5">
        <f>IF(B98="","",NOW())</f>
        <v/>
      </c>
    </row>
    <row r="99">
      <c r="A99" s="5">
        <f>IF(B99="","","INQ-"&amp;TEXT(ROW()-1,"0000"))</f>
        <v/>
      </c>
      <c r="P99" s="5">
        <f>IF(B99="","",NOW())</f>
        <v/>
      </c>
    </row>
    <row r="100">
      <c r="A100" s="5">
        <f>IF(B100="","","INQ-"&amp;TEXT(ROW()-1,"0000"))</f>
        <v/>
      </c>
      <c r="P100" s="5">
        <f>IF(B100="","",NOW())</f>
        <v/>
      </c>
    </row>
    <row r="101">
      <c r="A101" s="5">
        <f>IF(B101="","","INQ-"&amp;TEXT(ROW()-1,"0000"))</f>
        <v/>
      </c>
      <c r="P101" s="5">
        <f>IF(B101="","",NOW())</f>
        <v/>
      </c>
    </row>
    <row r="102">
      <c r="A102" s="5">
        <f>IF(B102="","","INQ-"&amp;TEXT(ROW()-1,"0000"))</f>
        <v/>
      </c>
      <c r="P102" s="5">
        <f>IF(B102="","",NOW())</f>
        <v/>
      </c>
    </row>
    <row r="103">
      <c r="A103" s="5">
        <f>IF(B103="","","INQ-"&amp;TEXT(ROW()-1,"0000"))</f>
        <v/>
      </c>
      <c r="P103" s="5">
        <f>IF(B103="","",NOW())</f>
        <v/>
      </c>
    </row>
    <row r="104">
      <c r="A104" s="5">
        <f>IF(B104="","","INQ-"&amp;TEXT(ROW()-1,"0000"))</f>
        <v/>
      </c>
      <c r="P104" s="5">
        <f>IF(B104="","",NOW())</f>
        <v/>
      </c>
    </row>
    <row r="105">
      <c r="A105" s="5">
        <f>IF(B105="","","INQ-"&amp;TEXT(ROW()-1,"0000"))</f>
        <v/>
      </c>
      <c r="P105" s="5">
        <f>IF(B105="","",NOW())</f>
        <v/>
      </c>
    </row>
    <row r="106">
      <c r="A106" s="5">
        <f>IF(B106="","","INQ-"&amp;TEXT(ROW()-1,"0000"))</f>
        <v/>
      </c>
      <c r="P106" s="5">
        <f>IF(B106="","",NOW())</f>
        <v/>
      </c>
    </row>
    <row r="107">
      <c r="A107" s="5">
        <f>IF(B107="","","INQ-"&amp;TEXT(ROW()-1,"0000"))</f>
        <v/>
      </c>
      <c r="P107" s="5">
        <f>IF(B107="","",NOW())</f>
        <v/>
      </c>
    </row>
    <row r="108">
      <c r="A108" s="5">
        <f>IF(B108="","","INQ-"&amp;TEXT(ROW()-1,"0000"))</f>
        <v/>
      </c>
      <c r="P108" s="5">
        <f>IF(B108="","",NOW())</f>
        <v/>
      </c>
    </row>
    <row r="109">
      <c r="A109" s="5">
        <f>IF(B109="","","INQ-"&amp;TEXT(ROW()-1,"0000"))</f>
        <v/>
      </c>
      <c r="P109" s="5">
        <f>IF(B109="","",NOW())</f>
        <v/>
      </c>
    </row>
    <row r="110">
      <c r="A110" s="5">
        <f>IF(B110="","","INQ-"&amp;TEXT(ROW()-1,"0000"))</f>
        <v/>
      </c>
      <c r="P110" s="5">
        <f>IF(B110="","",NOW())</f>
        <v/>
      </c>
    </row>
    <row r="111">
      <c r="A111" s="5">
        <f>IF(B111="","","INQ-"&amp;TEXT(ROW()-1,"0000"))</f>
        <v/>
      </c>
      <c r="P111" s="5">
        <f>IF(B111="","",NOW())</f>
        <v/>
      </c>
    </row>
    <row r="112">
      <c r="A112" s="5">
        <f>IF(B112="","","INQ-"&amp;TEXT(ROW()-1,"0000"))</f>
        <v/>
      </c>
      <c r="P112" s="5">
        <f>IF(B112="","",NOW())</f>
        <v/>
      </c>
    </row>
    <row r="113">
      <c r="A113" s="5">
        <f>IF(B113="","","INQ-"&amp;TEXT(ROW()-1,"0000"))</f>
        <v/>
      </c>
      <c r="P113" s="5">
        <f>IF(B113="","",NOW())</f>
        <v/>
      </c>
    </row>
    <row r="114">
      <c r="A114" s="5">
        <f>IF(B114="","","INQ-"&amp;TEXT(ROW()-1,"0000"))</f>
        <v/>
      </c>
      <c r="P114" s="5">
        <f>IF(B114="","",NOW())</f>
        <v/>
      </c>
    </row>
    <row r="115">
      <c r="A115" s="5">
        <f>IF(B115="","","INQ-"&amp;TEXT(ROW()-1,"0000"))</f>
        <v/>
      </c>
      <c r="P115" s="5">
        <f>IF(B115="","",NOW())</f>
        <v/>
      </c>
    </row>
    <row r="116">
      <c r="A116" s="5">
        <f>IF(B116="","","INQ-"&amp;TEXT(ROW()-1,"0000"))</f>
        <v/>
      </c>
      <c r="P116" s="5">
        <f>IF(B116="","",NOW())</f>
        <v/>
      </c>
    </row>
    <row r="117">
      <c r="A117" s="5">
        <f>IF(B117="","","INQ-"&amp;TEXT(ROW()-1,"0000"))</f>
        <v/>
      </c>
      <c r="P117" s="5">
        <f>IF(B117="","",NOW())</f>
        <v/>
      </c>
    </row>
    <row r="118">
      <c r="A118" s="5">
        <f>IF(B118="","","INQ-"&amp;TEXT(ROW()-1,"0000"))</f>
        <v/>
      </c>
      <c r="P118" s="5">
        <f>IF(B118="","",NOW())</f>
        <v/>
      </c>
    </row>
    <row r="119">
      <c r="A119" s="5">
        <f>IF(B119="","","INQ-"&amp;TEXT(ROW()-1,"0000"))</f>
        <v/>
      </c>
      <c r="P119" s="5">
        <f>IF(B119="","",NOW())</f>
        <v/>
      </c>
    </row>
    <row r="120">
      <c r="A120" s="5">
        <f>IF(B120="","","INQ-"&amp;TEXT(ROW()-1,"0000"))</f>
        <v/>
      </c>
      <c r="P120" s="5">
        <f>IF(B120="","",NOW())</f>
        <v/>
      </c>
    </row>
    <row r="121">
      <c r="A121" s="5">
        <f>IF(B121="","","INQ-"&amp;TEXT(ROW()-1,"0000"))</f>
        <v/>
      </c>
      <c r="P121" s="5">
        <f>IF(B121="","",NOW())</f>
        <v/>
      </c>
    </row>
    <row r="122">
      <c r="A122" s="5">
        <f>IF(B122="","","INQ-"&amp;TEXT(ROW()-1,"0000"))</f>
        <v/>
      </c>
      <c r="P122" s="5">
        <f>IF(B122="","",NOW())</f>
        <v/>
      </c>
    </row>
    <row r="123">
      <c r="A123" s="5">
        <f>IF(B123="","","INQ-"&amp;TEXT(ROW()-1,"0000"))</f>
        <v/>
      </c>
      <c r="P123" s="5">
        <f>IF(B123="","",NOW())</f>
        <v/>
      </c>
    </row>
    <row r="124">
      <c r="A124" s="5">
        <f>IF(B124="","","INQ-"&amp;TEXT(ROW()-1,"0000"))</f>
        <v/>
      </c>
      <c r="P124" s="5">
        <f>IF(B124="","",NOW())</f>
        <v/>
      </c>
    </row>
    <row r="125">
      <c r="A125" s="5">
        <f>IF(B125="","","INQ-"&amp;TEXT(ROW()-1,"0000"))</f>
        <v/>
      </c>
      <c r="P125" s="5">
        <f>IF(B125="","",NOW())</f>
        <v/>
      </c>
    </row>
    <row r="126">
      <c r="A126" s="5">
        <f>IF(B126="","","INQ-"&amp;TEXT(ROW()-1,"0000"))</f>
        <v/>
      </c>
      <c r="P126" s="5">
        <f>IF(B126="","",NOW())</f>
        <v/>
      </c>
    </row>
    <row r="127">
      <c r="A127" s="5">
        <f>IF(B127="","","INQ-"&amp;TEXT(ROW()-1,"0000"))</f>
        <v/>
      </c>
      <c r="P127" s="5">
        <f>IF(B127="","",NOW())</f>
        <v/>
      </c>
    </row>
    <row r="128">
      <c r="A128" s="5">
        <f>IF(B128="","","INQ-"&amp;TEXT(ROW()-1,"0000"))</f>
        <v/>
      </c>
      <c r="P128" s="5">
        <f>IF(B128="","",NOW())</f>
        <v/>
      </c>
    </row>
    <row r="129">
      <c r="A129" s="5">
        <f>IF(B129="","","INQ-"&amp;TEXT(ROW()-1,"0000"))</f>
        <v/>
      </c>
      <c r="P129" s="5">
        <f>IF(B129="","",NOW())</f>
        <v/>
      </c>
    </row>
    <row r="130">
      <c r="A130" s="5">
        <f>IF(B130="","","INQ-"&amp;TEXT(ROW()-1,"0000"))</f>
        <v/>
      </c>
      <c r="P130" s="5">
        <f>IF(B130="","",NOW())</f>
        <v/>
      </c>
    </row>
    <row r="131">
      <c r="A131" s="5">
        <f>IF(B131="","","INQ-"&amp;TEXT(ROW()-1,"0000"))</f>
        <v/>
      </c>
      <c r="P131" s="5">
        <f>IF(B131="","",NOW())</f>
        <v/>
      </c>
    </row>
    <row r="132">
      <c r="A132" s="5">
        <f>IF(B132="","","INQ-"&amp;TEXT(ROW()-1,"0000"))</f>
        <v/>
      </c>
      <c r="P132" s="5">
        <f>IF(B132="","",NOW())</f>
        <v/>
      </c>
    </row>
    <row r="133">
      <c r="A133" s="5">
        <f>IF(B133="","","INQ-"&amp;TEXT(ROW()-1,"0000"))</f>
        <v/>
      </c>
      <c r="P133" s="5">
        <f>IF(B133="","",NOW())</f>
        <v/>
      </c>
    </row>
    <row r="134">
      <c r="A134" s="5">
        <f>IF(B134="","","INQ-"&amp;TEXT(ROW()-1,"0000"))</f>
        <v/>
      </c>
      <c r="P134" s="5">
        <f>IF(B134="","",NOW())</f>
        <v/>
      </c>
    </row>
    <row r="135">
      <c r="A135" s="5">
        <f>IF(B135="","","INQ-"&amp;TEXT(ROW()-1,"0000"))</f>
        <v/>
      </c>
      <c r="P135" s="5">
        <f>IF(B135="","",NOW())</f>
        <v/>
      </c>
    </row>
    <row r="136">
      <c r="A136" s="5">
        <f>IF(B136="","","INQ-"&amp;TEXT(ROW()-1,"0000"))</f>
        <v/>
      </c>
      <c r="P136" s="5">
        <f>IF(B136="","",NOW())</f>
        <v/>
      </c>
    </row>
    <row r="137">
      <c r="A137" s="5">
        <f>IF(B137="","","INQ-"&amp;TEXT(ROW()-1,"0000"))</f>
        <v/>
      </c>
      <c r="P137" s="5">
        <f>IF(B137="","",NOW())</f>
        <v/>
      </c>
    </row>
    <row r="138">
      <c r="A138" s="5">
        <f>IF(B138="","","INQ-"&amp;TEXT(ROW()-1,"0000"))</f>
        <v/>
      </c>
      <c r="P138" s="5">
        <f>IF(B138="","",NOW())</f>
        <v/>
      </c>
    </row>
    <row r="139">
      <c r="A139" s="5">
        <f>IF(B139="","","INQ-"&amp;TEXT(ROW()-1,"0000"))</f>
        <v/>
      </c>
      <c r="P139" s="5">
        <f>IF(B139="","",NOW())</f>
        <v/>
      </c>
    </row>
    <row r="140">
      <c r="A140" s="5">
        <f>IF(B140="","","INQ-"&amp;TEXT(ROW()-1,"0000"))</f>
        <v/>
      </c>
      <c r="P140" s="5">
        <f>IF(B140="","",NOW())</f>
        <v/>
      </c>
    </row>
    <row r="141">
      <c r="A141" s="5">
        <f>IF(B141="","","INQ-"&amp;TEXT(ROW()-1,"0000"))</f>
        <v/>
      </c>
      <c r="P141" s="5">
        <f>IF(B141="","",NOW())</f>
        <v/>
      </c>
    </row>
    <row r="142">
      <c r="A142" s="5">
        <f>IF(B142="","","INQ-"&amp;TEXT(ROW()-1,"0000"))</f>
        <v/>
      </c>
      <c r="P142" s="5">
        <f>IF(B142="","",NOW())</f>
        <v/>
      </c>
    </row>
    <row r="143">
      <c r="A143" s="5">
        <f>IF(B143="","","INQ-"&amp;TEXT(ROW()-1,"0000"))</f>
        <v/>
      </c>
      <c r="P143" s="5">
        <f>IF(B143="","",NOW())</f>
        <v/>
      </c>
    </row>
    <row r="144">
      <c r="A144" s="5">
        <f>IF(B144="","","INQ-"&amp;TEXT(ROW()-1,"0000"))</f>
        <v/>
      </c>
      <c r="P144" s="5">
        <f>IF(B144="","",NOW())</f>
        <v/>
      </c>
    </row>
    <row r="145">
      <c r="A145" s="5">
        <f>IF(B145="","","INQ-"&amp;TEXT(ROW()-1,"0000"))</f>
        <v/>
      </c>
      <c r="P145" s="5">
        <f>IF(B145="","",NOW())</f>
        <v/>
      </c>
    </row>
    <row r="146">
      <c r="A146" s="5">
        <f>IF(B146="","","INQ-"&amp;TEXT(ROW()-1,"0000"))</f>
        <v/>
      </c>
      <c r="P146" s="5">
        <f>IF(B146="","",NOW())</f>
        <v/>
      </c>
    </row>
    <row r="147">
      <c r="A147" s="5">
        <f>IF(B147="","","INQ-"&amp;TEXT(ROW()-1,"0000"))</f>
        <v/>
      </c>
      <c r="P147" s="5">
        <f>IF(B147="","",NOW())</f>
        <v/>
      </c>
    </row>
    <row r="148">
      <c r="A148" s="5">
        <f>IF(B148="","","INQ-"&amp;TEXT(ROW()-1,"0000"))</f>
        <v/>
      </c>
      <c r="P148" s="5">
        <f>IF(B148="","",NOW())</f>
        <v/>
      </c>
    </row>
    <row r="149">
      <c r="A149" s="5">
        <f>IF(B149="","","INQ-"&amp;TEXT(ROW()-1,"0000"))</f>
        <v/>
      </c>
      <c r="P149" s="5">
        <f>IF(B149="","",NOW())</f>
        <v/>
      </c>
    </row>
    <row r="150">
      <c r="A150" s="5">
        <f>IF(B150="","","INQ-"&amp;TEXT(ROW()-1,"0000"))</f>
        <v/>
      </c>
      <c r="P150" s="5">
        <f>IF(B150="","",NOW())</f>
        <v/>
      </c>
    </row>
    <row r="151">
      <c r="A151" s="5">
        <f>IF(B151="","","INQ-"&amp;TEXT(ROW()-1,"0000"))</f>
        <v/>
      </c>
      <c r="P151" s="5">
        <f>IF(B151="","",NOW())</f>
        <v/>
      </c>
    </row>
    <row r="152">
      <c r="A152" s="5">
        <f>IF(B152="","","INQ-"&amp;TEXT(ROW()-1,"0000"))</f>
        <v/>
      </c>
      <c r="P152" s="5">
        <f>IF(B152="","",NOW())</f>
        <v/>
      </c>
    </row>
    <row r="153">
      <c r="A153" s="5">
        <f>IF(B153="","","INQ-"&amp;TEXT(ROW()-1,"0000"))</f>
        <v/>
      </c>
      <c r="P153" s="5">
        <f>IF(B153="","",NOW())</f>
        <v/>
      </c>
    </row>
    <row r="154">
      <c r="A154" s="5">
        <f>IF(B154="","","INQ-"&amp;TEXT(ROW()-1,"0000"))</f>
        <v/>
      </c>
      <c r="P154" s="5">
        <f>IF(B154="","",NOW())</f>
        <v/>
      </c>
    </row>
    <row r="155">
      <c r="A155" s="5">
        <f>IF(B155="","","INQ-"&amp;TEXT(ROW()-1,"0000"))</f>
        <v/>
      </c>
      <c r="P155" s="5">
        <f>IF(B155="","",NOW())</f>
        <v/>
      </c>
    </row>
    <row r="156">
      <c r="A156" s="5">
        <f>IF(B156="","","INQ-"&amp;TEXT(ROW()-1,"0000"))</f>
        <v/>
      </c>
      <c r="P156" s="5">
        <f>IF(B156="","",NOW())</f>
        <v/>
      </c>
    </row>
    <row r="157">
      <c r="A157" s="5">
        <f>IF(B157="","","INQ-"&amp;TEXT(ROW()-1,"0000"))</f>
        <v/>
      </c>
      <c r="P157" s="5">
        <f>IF(B157="","",NOW())</f>
        <v/>
      </c>
    </row>
    <row r="158">
      <c r="A158" s="5">
        <f>IF(B158="","","INQ-"&amp;TEXT(ROW()-1,"0000"))</f>
        <v/>
      </c>
      <c r="P158" s="5">
        <f>IF(B158="","",NOW())</f>
        <v/>
      </c>
    </row>
    <row r="159">
      <c r="A159" s="5">
        <f>IF(B159="","","INQ-"&amp;TEXT(ROW()-1,"0000"))</f>
        <v/>
      </c>
      <c r="P159" s="5">
        <f>IF(B159="","",NOW())</f>
        <v/>
      </c>
    </row>
    <row r="160">
      <c r="A160" s="5">
        <f>IF(B160="","","INQ-"&amp;TEXT(ROW()-1,"0000"))</f>
        <v/>
      </c>
      <c r="P160" s="5">
        <f>IF(B160="","",NOW())</f>
        <v/>
      </c>
    </row>
    <row r="161">
      <c r="A161" s="5">
        <f>IF(B161="","","INQ-"&amp;TEXT(ROW()-1,"0000"))</f>
        <v/>
      </c>
      <c r="P161" s="5">
        <f>IF(B161="","",NOW())</f>
        <v/>
      </c>
    </row>
    <row r="162">
      <c r="A162" s="5">
        <f>IF(B162="","","INQ-"&amp;TEXT(ROW()-1,"0000"))</f>
        <v/>
      </c>
      <c r="P162" s="5">
        <f>IF(B162="","",NOW())</f>
        <v/>
      </c>
    </row>
    <row r="163">
      <c r="A163" s="5">
        <f>IF(B163="","","INQ-"&amp;TEXT(ROW()-1,"0000"))</f>
        <v/>
      </c>
      <c r="P163" s="5">
        <f>IF(B163="","",NOW())</f>
        <v/>
      </c>
    </row>
    <row r="164">
      <c r="A164" s="5">
        <f>IF(B164="","","INQ-"&amp;TEXT(ROW()-1,"0000"))</f>
        <v/>
      </c>
      <c r="P164" s="5">
        <f>IF(B164="","",NOW())</f>
        <v/>
      </c>
    </row>
    <row r="165">
      <c r="A165" s="5">
        <f>IF(B165="","","INQ-"&amp;TEXT(ROW()-1,"0000"))</f>
        <v/>
      </c>
      <c r="P165" s="5">
        <f>IF(B165="","",NOW())</f>
        <v/>
      </c>
    </row>
    <row r="166">
      <c r="A166" s="5">
        <f>IF(B166="","","INQ-"&amp;TEXT(ROW()-1,"0000"))</f>
        <v/>
      </c>
      <c r="P166" s="5">
        <f>IF(B166="","",NOW())</f>
        <v/>
      </c>
    </row>
    <row r="167">
      <c r="A167" s="5">
        <f>IF(B167="","","INQ-"&amp;TEXT(ROW()-1,"0000"))</f>
        <v/>
      </c>
      <c r="P167" s="5">
        <f>IF(B167="","",NOW())</f>
        <v/>
      </c>
    </row>
    <row r="168">
      <c r="A168" s="5">
        <f>IF(B168="","","INQ-"&amp;TEXT(ROW()-1,"0000"))</f>
        <v/>
      </c>
      <c r="P168" s="5">
        <f>IF(B168="","",NOW())</f>
        <v/>
      </c>
    </row>
    <row r="169">
      <c r="A169" s="5">
        <f>IF(B169="","","INQ-"&amp;TEXT(ROW()-1,"0000"))</f>
        <v/>
      </c>
      <c r="P169" s="5">
        <f>IF(B169="","",NOW())</f>
        <v/>
      </c>
    </row>
    <row r="170">
      <c r="A170" s="5">
        <f>IF(B170="","","INQ-"&amp;TEXT(ROW()-1,"0000"))</f>
        <v/>
      </c>
      <c r="P170" s="5">
        <f>IF(B170="","",NOW())</f>
        <v/>
      </c>
    </row>
    <row r="171">
      <c r="A171" s="5">
        <f>IF(B171="","","INQ-"&amp;TEXT(ROW()-1,"0000"))</f>
        <v/>
      </c>
      <c r="P171" s="5">
        <f>IF(B171="","",NOW())</f>
        <v/>
      </c>
    </row>
    <row r="172">
      <c r="A172" s="5">
        <f>IF(B172="","","INQ-"&amp;TEXT(ROW()-1,"0000"))</f>
        <v/>
      </c>
      <c r="P172" s="5">
        <f>IF(B172="","",NOW())</f>
        <v/>
      </c>
    </row>
    <row r="173">
      <c r="A173" s="5">
        <f>IF(B173="","","INQ-"&amp;TEXT(ROW()-1,"0000"))</f>
        <v/>
      </c>
      <c r="P173" s="5">
        <f>IF(B173="","",NOW())</f>
        <v/>
      </c>
    </row>
    <row r="174">
      <c r="A174" s="5">
        <f>IF(B174="","","INQ-"&amp;TEXT(ROW()-1,"0000"))</f>
        <v/>
      </c>
      <c r="P174" s="5">
        <f>IF(B174="","",NOW())</f>
        <v/>
      </c>
    </row>
    <row r="175">
      <c r="A175" s="5">
        <f>IF(B175="","","INQ-"&amp;TEXT(ROW()-1,"0000"))</f>
        <v/>
      </c>
      <c r="P175" s="5">
        <f>IF(B175="","",NOW())</f>
        <v/>
      </c>
    </row>
    <row r="176">
      <c r="A176" s="5">
        <f>IF(B176="","","INQ-"&amp;TEXT(ROW()-1,"0000"))</f>
        <v/>
      </c>
      <c r="P176" s="5">
        <f>IF(B176="","",NOW())</f>
        <v/>
      </c>
    </row>
    <row r="177">
      <c r="A177" s="5">
        <f>IF(B177="","","INQ-"&amp;TEXT(ROW()-1,"0000"))</f>
        <v/>
      </c>
      <c r="P177" s="5">
        <f>IF(B177="","",NOW())</f>
        <v/>
      </c>
    </row>
    <row r="178">
      <c r="A178" s="5">
        <f>IF(B178="","","INQ-"&amp;TEXT(ROW()-1,"0000"))</f>
        <v/>
      </c>
      <c r="P178" s="5">
        <f>IF(B178="","",NOW())</f>
        <v/>
      </c>
    </row>
    <row r="179">
      <c r="A179" s="5">
        <f>IF(B179="","","INQ-"&amp;TEXT(ROW()-1,"0000"))</f>
        <v/>
      </c>
      <c r="P179" s="5">
        <f>IF(B179="","",NOW())</f>
        <v/>
      </c>
    </row>
    <row r="180">
      <c r="A180" s="5">
        <f>IF(B180="","","INQ-"&amp;TEXT(ROW()-1,"0000"))</f>
        <v/>
      </c>
      <c r="P180" s="5">
        <f>IF(B180="","",NOW())</f>
        <v/>
      </c>
    </row>
    <row r="181">
      <c r="A181" s="5">
        <f>IF(B181="","","INQ-"&amp;TEXT(ROW()-1,"0000"))</f>
        <v/>
      </c>
      <c r="P181" s="5">
        <f>IF(B181="","",NOW())</f>
        <v/>
      </c>
    </row>
    <row r="182">
      <c r="A182" s="5">
        <f>IF(B182="","","INQ-"&amp;TEXT(ROW()-1,"0000"))</f>
        <v/>
      </c>
      <c r="P182" s="5">
        <f>IF(B182="","",NOW())</f>
        <v/>
      </c>
    </row>
    <row r="183">
      <c r="A183" s="5">
        <f>IF(B183="","","INQ-"&amp;TEXT(ROW()-1,"0000"))</f>
        <v/>
      </c>
      <c r="P183" s="5">
        <f>IF(B183="","",NOW())</f>
        <v/>
      </c>
    </row>
    <row r="184">
      <c r="A184" s="5">
        <f>IF(B184="","","INQ-"&amp;TEXT(ROW()-1,"0000"))</f>
        <v/>
      </c>
      <c r="P184" s="5">
        <f>IF(B184="","",NOW())</f>
        <v/>
      </c>
    </row>
    <row r="185">
      <c r="A185" s="5">
        <f>IF(B185="","","INQ-"&amp;TEXT(ROW()-1,"0000"))</f>
        <v/>
      </c>
      <c r="P185" s="5">
        <f>IF(B185="","",NOW())</f>
        <v/>
      </c>
    </row>
    <row r="186">
      <c r="A186" s="5">
        <f>IF(B186="","","INQ-"&amp;TEXT(ROW()-1,"0000"))</f>
        <v/>
      </c>
      <c r="P186" s="5">
        <f>IF(B186="","",NOW())</f>
        <v/>
      </c>
    </row>
    <row r="187">
      <c r="A187" s="5">
        <f>IF(B187="","","INQ-"&amp;TEXT(ROW()-1,"0000"))</f>
        <v/>
      </c>
      <c r="P187" s="5">
        <f>IF(B187="","",NOW())</f>
        <v/>
      </c>
    </row>
    <row r="188">
      <c r="A188" s="5">
        <f>IF(B188="","","INQ-"&amp;TEXT(ROW()-1,"0000"))</f>
        <v/>
      </c>
      <c r="P188" s="5">
        <f>IF(B188="","",NOW())</f>
        <v/>
      </c>
    </row>
    <row r="189">
      <c r="A189" s="5">
        <f>IF(B189="","","INQ-"&amp;TEXT(ROW()-1,"0000"))</f>
        <v/>
      </c>
      <c r="P189" s="5">
        <f>IF(B189="","",NOW())</f>
        <v/>
      </c>
    </row>
    <row r="190">
      <c r="A190" s="5">
        <f>IF(B190="","","INQ-"&amp;TEXT(ROW()-1,"0000"))</f>
        <v/>
      </c>
      <c r="P190" s="5">
        <f>IF(B190="","",NOW())</f>
        <v/>
      </c>
    </row>
    <row r="191">
      <c r="A191" s="5">
        <f>IF(B191="","","INQ-"&amp;TEXT(ROW()-1,"0000"))</f>
        <v/>
      </c>
      <c r="P191" s="5">
        <f>IF(B191="","",NOW())</f>
        <v/>
      </c>
    </row>
    <row r="192">
      <c r="A192" s="5">
        <f>IF(B192="","","INQ-"&amp;TEXT(ROW()-1,"0000"))</f>
        <v/>
      </c>
      <c r="P192" s="5">
        <f>IF(B192="","",NOW())</f>
        <v/>
      </c>
    </row>
    <row r="193">
      <c r="A193" s="5">
        <f>IF(B193="","","INQ-"&amp;TEXT(ROW()-1,"0000"))</f>
        <v/>
      </c>
      <c r="P193" s="5">
        <f>IF(B193="","",NOW())</f>
        <v/>
      </c>
    </row>
    <row r="194">
      <c r="A194" s="5">
        <f>IF(B194="","","INQ-"&amp;TEXT(ROW()-1,"0000"))</f>
        <v/>
      </c>
      <c r="P194" s="5">
        <f>IF(B194="","",NOW())</f>
        <v/>
      </c>
    </row>
    <row r="195">
      <c r="A195" s="5">
        <f>IF(B195="","","INQ-"&amp;TEXT(ROW()-1,"0000"))</f>
        <v/>
      </c>
      <c r="P195" s="5">
        <f>IF(B195="","",NOW())</f>
        <v/>
      </c>
    </row>
    <row r="196">
      <c r="A196" s="5">
        <f>IF(B196="","","INQ-"&amp;TEXT(ROW()-1,"0000"))</f>
        <v/>
      </c>
      <c r="P196" s="5">
        <f>IF(B196="","",NOW())</f>
        <v/>
      </c>
    </row>
    <row r="197">
      <c r="A197" s="5">
        <f>IF(B197="","","INQ-"&amp;TEXT(ROW()-1,"0000"))</f>
        <v/>
      </c>
      <c r="P197" s="5">
        <f>IF(B197="","",NOW())</f>
        <v/>
      </c>
    </row>
    <row r="198">
      <c r="A198" s="5">
        <f>IF(B198="","","INQ-"&amp;TEXT(ROW()-1,"0000"))</f>
        <v/>
      </c>
      <c r="P198" s="5">
        <f>IF(B198="","",NOW())</f>
        <v/>
      </c>
    </row>
    <row r="199">
      <c r="A199" s="5">
        <f>IF(B199="","","INQ-"&amp;TEXT(ROW()-1,"0000"))</f>
        <v/>
      </c>
      <c r="P199" s="5">
        <f>IF(B199="","",NOW())</f>
        <v/>
      </c>
    </row>
    <row r="200">
      <c r="A200" s="5">
        <f>IF(B200="","","INQ-"&amp;TEXT(ROW()-1,"0000"))</f>
        <v/>
      </c>
      <c r="P200" s="5">
        <f>IF(B200="","",NOW())</f>
        <v/>
      </c>
    </row>
    <row r="201">
      <c r="A201" s="5">
        <f>IF(B201="","","INQ-"&amp;TEXT(ROW()-1,"0000"))</f>
        <v/>
      </c>
      <c r="P201" s="5">
        <f>IF(B201="","",NOW())</f>
        <v/>
      </c>
    </row>
  </sheetData>
  <dataValidations count="6">
    <dataValidation sqref="C2:C1000" showDropDown="0" showInputMessage="0" showErrorMessage="0" allowBlank="1" type="list">
      <formula1>"WhatsApp,Instagram,Referral,Walk-in,Other"</formula1>
    </dataValidation>
    <dataValidation sqref="F2:F1000" showDropDown="0" showInputMessage="0" showErrorMessage="0" allowBlank="1" type="list">
      <formula1>"Birthday,Birthday (kid),Anniversary,Wedding,Corporate,Just Because,Other"</formula1>
    </dataValidation>
    <dataValidation sqref="J2:J1000" showDropDown="0" showInputMessage="0" showErrorMessage="0" allowBlank="1" type="list">
      <formula1>"New,Quoted,Confirmed,Lost"</formula1>
    </dataValidation>
    <dataValidation sqref="K2:K1000" showDropDown="0" showInputMessage="0" showErrorMessage="0" allowBlank="1" type="list">
      <formula1>"Swetha,Shreya"</formula1>
    </dataValidation>
    <dataValidation sqref="N2:N1000" showDropDown="0" showInputMessage="0" showErrorMessage="0" allowBlank="1" type="list">
      <formula1>"Price,Date unavailable,No response,Changed mind,Other"</formula1>
    </dataValidation>
    <dataValidation sqref="O2:O1000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26" customWidth="1" min="4" max="4"/>
    <col width="48" customWidth="1" min="5" max="5"/>
    <col width="28" customWidth="1" min="6" max="6"/>
    <col width="18" customWidth="1" min="7" max="7"/>
    <col width="12" customWidth="1" min="8" max="8"/>
    <col width="12" customWidth="1" min="9" max="9"/>
    <col width="10" customWidth="1" min="10" max="10"/>
    <col width="13" customWidth="1" min="11" max="11"/>
    <col width="14" customWidth="1" min="12" max="12"/>
    <col width="12" customWidth="1" min="13" max="13"/>
    <col width="36" customWidth="1" min="14" max="14"/>
  </cols>
  <sheetData>
    <row r="1" ht="36" customHeight="1">
      <c r="A1" s="4" t="inlineStr">
        <is>
          <t>Customer ID</t>
        </is>
      </c>
      <c r="B1" s="4" t="inlineStr">
        <is>
          <t>Name</t>
        </is>
      </c>
      <c r="C1" s="4" t="inlineStr">
        <is>
          <t>Phone</t>
        </is>
      </c>
      <c r="D1" s="4" t="inlineStr">
        <is>
          <t>Email</t>
        </is>
      </c>
      <c r="E1" s="4" t="inlineStr">
        <is>
          <t>Address</t>
        </is>
      </c>
      <c r="F1" s="4" t="inlineStr">
        <is>
          <t>Dietary</t>
        </is>
      </c>
      <c r="G1" s="4" t="inlineStr">
        <is>
          <t>How they found us</t>
        </is>
      </c>
      <c r="H1" s="4" t="inlineStr">
        <is>
          <t>First order</t>
        </is>
      </c>
      <c r="I1" s="4" t="inlineStr">
        <is>
          <t>Last order</t>
        </is>
      </c>
      <c r="J1" s="4" t="inlineStr">
        <is>
          <t>Orders count</t>
        </is>
      </c>
      <c r="K1" s="4" t="inlineStr">
        <is>
          <t>Lifetime (₹)</t>
        </is>
      </c>
      <c r="L1" s="4" t="inlineStr">
        <is>
          <t>Marketing consent</t>
        </is>
      </c>
      <c r="M1" s="4" t="inlineStr">
        <is>
          <t>Consent date</t>
        </is>
      </c>
      <c r="N1" s="4" t="inlineStr">
        <is>
          <t>Notes</t>
        </is>
      </c>
    </row>
    <row r="2">
      <c r="A2" s="7" t="inlineStr">
        <is>
          <t>CUS-0001</t>
        </is>
      </c>
      <c r="B2" s="7" t="inlineStr">
        <is>
          <t>Arjun Mehta</t>
        </is>
      </c>
      <c r="C2" s="7" t="inlineStr">
        <is>
          <t>+919812345678</t>
        </is>
      </c>
      <c r="D2" s="7" t="inlineStr">
        <is>
          <t>arjun.m@example.com</t>
        </is>
      </c>
      <c r="E2" s="7" t="inlineStr">
        <is>
          <t>Flat 1204, Tower 2, Rajapushpa Eterna, Nanakramguda, Financial District, Hyderabad 500032</t>
        </is>
      </c>
      <c r="F2" s="7" t="inlineStr">
        <is>
          <t>Eggless preferred (Marwari household)</t>
        </is>
      </c>
      <c r="G2" s="7" t="inlineStr">
        <is>
          <t>WhatsApp</t>
        </is>
      </c>
      <c r="H2" s="6" t="n">
        <v>46040</v>
      </c>
      <c r="I2" s="5">
        <f>IFERROR(IF(MAXIFS(Orders!E:E,Orders!B:B,A2)=0,"",MAXIFS(Orders!E:E,Orders!B:B,A2)),"")</f>
        <v/>
      </c>
      <c r="J2" s="5">
        <f>IF(A2="","",COUNTIF(Orders!B:B,A2))</f>
        <v/>
      </c>
      <c r="K2" s="5">
        <f>IF(A2="","",SUMIF(Orders!B:B,A2,Orders!K:K))</f>
        <v/>
      </c>
      <c r="L2" s="7" t="inlineStr">
        <is>
          <t>Y</t>
        </is>
      </c>
      <c r="M2" s="6" t="n">
        <v>46044</v>
      </c>
      <c r="N2" s="7" t="inlineStr">
        <is>
          <t>Two kids — Aanya (eggless cake fan), Veer (just turned 5)</t>
        </is>
      </c>
    </row>
    <row r="3">
      <c r="A3" s="7" t="inlineStr">
        <is>
          <t>CUS-0002</t>
        </is>
      </c>
      <c r="B3" s="7" t="inlineStr">
        <is>
          <t>Priya Reddy</t>
        </is>
      </c>
      <c r="C3" s="7" t="inlineStr">
        <is>
          <t>+919876543210</t>
        </is>
      </c>
      <c r="D3" s="7" t="inlineStr">
        <is>
          <t>priya.r@example.com</t>
        </is>
      </c>
      <c r="E3" s="7" t="inlineStr">
        <is>
          <t>Flat 0708, Tower 5, Rajapushpa Provincia, Puppalaguda, Narsingi, Hyderabad 500075</t>
        </is>
      </c>
      <c r="F3" s="7" t="inlineStr">
        <is>
          <t>Egg ok</t>
        </is>
      </c>
      <c r="G3" s="7" t="inlineStr">
        <is>
          <t>Instagram</t>
        </is>
      </c>
      <c r="H3" s="6" t="n">
        <v>46067</v>
      </c>
      <c r="I3" s="5">
        <f>IFERROR(IF(MAXIFS(Orders!E:E,Orders!B:B,A3)=0,"",MAXIFS(Orders!E:E,Orders!B:B,A3)),"")</f>
        <v/>
      </c>
      <c r="J3" s="5">
        <f>IF(A3="","",COUNTIF(Orders!B:B,A3))</f>
        <v/>
      </c>
      <c r="K3" s="5">
        <f>IF(A3="","",SUMIF(Orders!B:B,A3,Orders!K:K))</f>
        <v/>
      </c>
      <c r="L3" s="7" t="inlineStr">
        <is>
          <t>Y</t>
        </is>
      </c>
      <c r="M3" s="6" t="n">
        <v>46071</v>
      </c>
      <c r="N3" s="7" t="inlineStr">
        <is>
          <t>Found us via Insta reel; kid Aarav's bday is the recurring trigger</t>
        </is>
      </c>
    </row>
    <row r="4">
      <c r="A4" s="7" t="inlineStr">
        <is>
          <t>CUS-0003</t>
        </is>
      </c>
      <c r="B4" s="7" t="inlineStr">
        <is>
          <t>Karthik Subramaniam</t>
        </is>
      </c>
      <c r="C4" s="7" t="inlineStr">
        <is>
          <t>+919900112233</t>
        </is>
      </c>
      <c r="D4" s="7" t="inlineStr">
        <is>
          <t>karthik.s@example.com</t>
        </is>
      </c>
      <c r="E4" s="7" t="inlineStr">
        <is>
          <t>Flat 0502, Tower 1, Rajapushpa Eterna, Nanakramguda, Financial District, Hyderabad 500032</t>
        </is>
      </c>
      <c r="F4" s="7" t="inlineStr">
        <is>
          <t>Egg ok; no nuts (wife allergy)</t>
        </is>
      </c>
      <c r="G4" s="7" t="inlineStr">
        <is>
          <t>Referral</t>
        </is>
      </c>
      <c r="H4" s="6" t="n">
        <v>45991</v>
      </c>
      <c r="I4" s="5">
        <f>IFERROR(IF(MAXIFS(Orders!E:E,Orders!B:B,A4)=0,"",MAXIFS(Orders!E:E,Orders!B:B,A4)),"")</f>
        <v/>
      </c>
      <c r="J4" s="5">
        <f>IF(A4="","",COUNTIF(Orders!B:B,A4))</f>
        <v/>
      </c>
      <c r="K4" s="5">
        <f>IF(A4="","",SUMIF(Orders!B:B,A4,Orders!K:K))</f>
        <v/>
      </c>
      <c r="L4" s="7" t="inlineStr">
        <is>
          <t>Y</t>
        </is>
      </c>
      <c r="M4" s="6" t="n">
        <v>45994</v>
      </c>
      <c r="N4" s="7" t="inlineStr">
        <is>
          <t>Orders ~monthly; office celebrations + family events. Referred by Arjun.</t>
        </is>
      </c>
    </row>
    <row r="5">
      <c r="A5" s="7" t="inlineStr">
        <is>
          <t>CUS-0004</t>
        </is>
      </c>
      <c r="B5" s="7" t="inlineStr">
        <is>
          <t>Anjali Agarwal</t>
        </is>
      </c>
      <c r="C5" s="7" t="inlineStr">
        <is>
          <t>+919833221100</t>
        </is>
      </c>
      <c r="D5" s="7" t="inlineStr">
        <is>
          <t>anjali.a@example.com</t>
        </is>
      </c>
      <c r="E5" s="7" t="inlineStr">
        <is>
          <t>Flat 2102, Tower 9, Rajapushpa Provincia, Puppalaguda, Narsingi, Hyderabad 500075</t>
        </is>
      </c>
      <c r="F5" s="7" t="inlineStr">
        <is>
          <t>Strict eggless (Jain — no onion/garlic, but cakes ok)</t>
        </is>
      </c>
      <c r="G5" s="7" t="inlineStr">
        <is>
          <t>Instagram</t>
        </is>
      </c>
      <c r="H5" s="6" t="n">
        <v>46086</v>
      </c>
      <c r="I5" s="5">
        <f>IFERROR(IF(MAXIFS(Orders!E:E,Orders!B:B,A5)=0,"",MAXIFS(Orders!E:E,Orders!B:B,A5)),"")</f>
        <v/>
      </c>
      <c r="J5" s="5">
        <f>IF(A5="","",COUNTIF(Orders!B:B,A5))</f>
        <v/>
      </c>
      <c r="K5" s="5">
        <f>IF(A5="","",SUMIF(Orders!B:B,A5,Orders!K:K))</f>
        <v/>
      </c>
      <c r="L5" s="7" t="inlineStr">
        <is>
          <t>Y</t>
        </is>
      </c>
      <c r="M5" s="6" t="n">
        <v>46091</v>
      </c>
      <c r="N5" s="7" t="inlineStr">
        <is>
          <t>High AOV; willing to pay for premium eggless. Two kids.</t>
        </is>
      </c>
    </row>
    <row r="6">
      <c r="A6" s="7" t="inlineStr">
        <is>
          <t>CUS-0005</t>
        </is>
      </c>
      <c r="B6" s="7" t="inlineStr">
        <is>
          <t>Rohan Kapoor</t>
        </is>
      </c>
      <c r="C6" s="7" t="inlineStr">
        <is>
          <t>+919944556677</t>
        </is>
      </c>
      <c r="D6" s="7" t="inlineStr">
        <is>
          <t>rohan.k@example.com</t>
        </is>
      </c>
      <c r="E6" s="7" t="inlineStr">
        <is>
          <t>Flat 0904, Tower 3, Rajapushpa Eterna, Nanakramguda, Financial District, Hyderabad 500032</t>
        </is>
      </c>
      <c r="F6" s="7" t="inlineStr">
        <is>
          <t>Egg ok</t>
        </is>
      </c>
      <c r="G6" s="7" t="inlineStr">
        <is>
          <t>WhatsApp</t>
        </is>
      </c>
      <c r="H6" s="6" t="n">
        <v>46019</v>
      </c>
      <c r="I6" s="5">
        <f>IFERROR(IF(MAXIFS(Orders!E:E,Orders!B:B,A6)=0,"",MAXIFS(Orders!E:E,Orders!B:B,A6)),"")</f>
        <v/>
      </c>
      <c r="J6" s="5">
        <f>IF(A6="","",COUNTIF(Orders!B:B,A6))</f>
        <v/>
      </c>
      <c r="K6" s="5">
        <f>IF(A6="","",SUMIF(Orders!B:B,A6,Orders!K:K))</f>
        <v/>
      </c>
      <c r="L6" s="7" t="inlineStr">
        <is>
          <t>Y</t>
        </is>
      </c>
      <c r="M6" s="6" t="n">
        <v>46024</v>
      </c>
      <c r="N6" s="7" t="inlineStr">
        <is>
          <t>Anniversary always end-Dec; orders 1 day notice (chronic). Tip well.</t>
        </is>
      </c>
    </row>
    <row r="7">
      <c r="A7" s="7" t="inlineStr">
        <is>
          <t>CUS-0006</t>
        </is>
      </c>
      <c r="B7" s="7" t="inlineStr">
        <is>
          <t>Lakshmi Nair</t>
        </is>
      </c>
      <c r="C7" s="7" t="inlineStr">
        <is>
          <t>+919966778899</t>
        </is>
      </c>
      <c r="D7" s="7" t="inlineStr">
        <is>
          <t>lakshmi.n@example.com</t>
        </is>
      </c>
      <c r="E7" s="7" t="inlineStr">
        <is>
          <t>Flat 0306, Tower 7, Rajapushpa Provincia, Puppalaguda, Narsingi, Hyderabad 500075</t>
        </is>
      </c>
      <c r="F7" s="7" t="inlineStr">
        <is>
          <t>Egg ok</t>
        </is>
      </c>
      <c r="G7" s="7" t="inlineStr">
        <is>
          <t>Instagram</t>
        </is>
      </c>
      <c r="H7" s="6" t="n">
        <v>46124</v>
      </c>
      <c r="I7" s="5">
        <f>IFERROR(IF(MAXIFS(Orders!E:E,Orders!B:B,A7)=0,"",MAXIFS(Orders!E:E,Orders!B:B,A7)),"")</f>
        <v/>
      </c>
      <c r="J7" s="5">
        <f>IF(A7="","",COUNTIF(Orders!B:B,A7))</f>
        <v/>
      </c>
      <c r="K7" s="5">
        <f>IF(A7="","",SUMIF(Orders!B:B,A7,Orders!K:K))</f>
        <v/>
      </c>
      <c r="L7" s="7" t="inlineStr">
        <is>
          <t>N</t>
        </is>
      </c>
      <c r="N7" s="7" t="inlineStr">
        <is>
          <t>Hasn't given marketing consent yet — only operational comms</t>
        </is>
      </c>
    </row>
    <row r="8">
      <c r="A8" s="7" t="inlineStr">
        <is>
          <t>CUS-0007</t>
        </is>
      </c>
      <c r="B8" s="7" t="inlineStr">
        <is>
          <t>Sandeep Goyal</t>
        </is>
      </c>
      <c r="C8" s="7" t="inlineStr">
        <is>
          <t>+919811223344</t>
        </is>
      </c>
      <c r="D8" s="7" t="inlineStr">
        <is>
          <t>sandeep.g@example.com</t>
        </is>
      </c>
      <c r="E8" s="7" t="inlineStr">
        <is>
          <t>Flat 1801, Tower 4, Rajapushpa Provincia, Puppalaguda, Narsingi, Hyderabad 500075</t>
        </is>
      </c>
      <c r="F8" s="7" t="inlineStr">
        <is>
          <t>Eggless only</t>
        </is>
      </c>
      <c r="G8" s="7" t="inlineStr">
        <is>
          <t>Referral</t>
        </is>
      </c>
      <c r="H8" s="6" t="n">
        <v>46075</v>
      </c>
      <c r="I8" s="5">
        <f>IFERROR(IF(MAXIFS(Orders!E:E,Orders!B:B,A8)=0,"",MAXIFS(Orders!E:E,Orders!B:B,A8)),"")</f>
        <v/>
      </c>
      <c r="J8" s="5">
        <f>IF(A8="","",COUNTIF(Orders!B:B,A8))</f>
        <v/>
      </c>
      <c r="K8" s="5">
        <f>IF(A8="","",SUMIF(Orders!B:B,A8,Orders!K:K))</f>
        <v/>
      </c>
      <c r="L8" s="7" t="inlineStr">
        <is>
          <t>Y</t>
        </is>
      </c>
      <c r="M8" s="6" t="n">
        <v>46078</v>
      </c>
      <c r="N8" s="7" t="inlineStr">
        <is>
          <t>Bulk orders — Diwali gifting (50+ boxes last year). Anchor B2C-bulk relationship.</t>
        </is>
      </c>
    </row>
    <row r="9">
      <c r="A9" s="7" t="inlineStr">
        <is>
          <t>CUS-0008</t>
        </is>
      </c>
      <c r="B9" s="7" t="inlineStr">
        <is>
          <t>Sneha Iyer</t>
        </is>
      </c>
      <c r="C9" s="7" t="inlineStr">
        <is>
          <t>+919822334455</t>
        </is>
      </c>
      <c r="D9" s="7" t="inlineStr">
        <is>
          <t>sneha.i@example.com</t>
        </is>
      </c>
      <c r="E9" s="7" t="inlineStr">
        <is>
          <t>Flat 0402, Tower 2, Rajapushpa Eterna, Nanakramguda, Financial District, Hyderabad 500032</t>
        </is>
      </c>
      <c r="F9" s="7" t="inlineStr">
        <is>
          <t>Eggless preferred</t>
        </is>
      </c>
      <c r="G9" s="7" t="inlineStr">
        <is>
          <t>Instagram</t>
        </is>
      </c>
      <c r="H9" s="6" t="n">
        <v>46140</v>
      </c>
      <c r="I9" s="5">
        <f>IFERROR(IF(MAXIFS(Orders!E:E,Orders!B:B,A9)=0,"",MAXIFS(Orders!E:E,Orders!B:B,A9)),"")</f>
        <v/>
      </c>
      <c r="J9" s="5">
        <f>IF(A9="","",COUNTIF(Orders!B:B,A9))</f>
        <v/>
      </c>
      <c r="K9" s="5">
        <f>IF(A9="","",SUMIF(Orders!B:B,A9,Orders!K:K))</f>
        <v/>
      </c>
      <c r="L9" s="7" t="inlineStr">
        <is>
          <t>Y</t>
        </is>
      </c>
      <c r="M9" s="6" t="n">
        <v>46143</v>
      </c>
      <c r="N9" s="7" t="inlineStr">
        <is>
          <t>Husband orders; she's the decision-maker. Bday is May 30.</t>
        </is>
      </c>
    </row>
    <row r="10">
      <c r="A10" s="7" t="inlineStr">
        <is>
          <t>CUS-0009</t>
        </is>
      </c>
      <c r="B10" s="7" t="inlineStr">
        <is>
          <t>Vikram Bhatia</t>
        </is>
      </c>
      <c r="C10" s="7" t="inlineStr">
        <is>
          <t>+919855667788</t>
        </is>
      </c>
      <c r="D10" s="7" t="inlineStr">
        <is>
          <t>vikram.b@example.com</t>
        </is>
      </c>
      <c r="E10" s="7" t="inlineStr">
        <is>
          <t>Flat 1503, Tower 6, Rajapushpa Provincia, Puppalaguda, Narsingi, Hyderabad 500075</t>
        </is>
      </c>
      <c r="F10" s="7" t="inlineStr">
        <is>
          <t>Egg ok</t>
        </is>
      </c>
      <c r="G10" s="7" t="inlineStr">
        <is>
          <t>WhatsApp</t>
        </is>
      </c>
      <c r="H10" s="6" t="n">
        <v>46099</v>
      </c>
      <c r="I10" s="5">
        <f>IFERROR(IF(MAXIFS(Orders!E:E,Orders!B:B,A10)=0,"",MAXIFS(Orders!E:E,Orders!B:B,A10)),"")</f>
        <v/>
      </c>
      <c r="J10" s="5">
        <f>IF(A10="","",COUNTIF(Orders!B:B,A10))</f>
        <v/>
      </c>
      <c r="K10" s="5">
        <f>IF(A10="","",SUMIF(Orders!B:B,A10,Orders!K:K))</f>
        <v/>
      </c>
      <c r="L10" s="7" t="inlineStr">
        <is>
          <t>Y</t>
        </is>
      </c>
      <c r="M10" s="6" t="n">
        <v>46101</v>
      </c>
      <c r="N10" s="7" t="inlineStr">
        <is>
          <t>Punjabi household; loves rich chocolate. Two kids + anniversary.</t>
        </is>
      </c>
    </row>
    <row r="11">
      <c r="A11" s="7" t="inlineStr">
        <is>
          <t>CUS-0010</t>
        </is>
      </c>
      <c r="B11" s="7" t="inlineStr">
        <is>
          <t>Aditi Saxena</t>
        </is>
      </c>
      <c r="C11" s="7" t="inlineStr">
        <is>
          <t>+919877889900</t>
        </is>
      </c>
      <c r="D11" s="7" t="inlineStr">
        <is>
          <t>aditi.s@example.com</t>
        </is>
      </c>
      <c r="E11" s="7" t="inlineStr">
        <is>
          <t>Flat 1106, Tower 8, Rajapushpa Provincia, Puppalaguda, Narsingi, Hyderabad 500075</t>
        </is>
      </c>
      <c r="F11" s="7" t="inlineStr">
        <is>
          <t>Egg ok</t>
        </is>
      </c>
      <c r="G11" s="7" t="inlineStr">
        <is>
          <t>Referral</t>
        </is>
      </c>
      <c r="H11" s="6" t="n">
        <v>46152</v>
      </c>
      <c r="I11" s="5">
        <f>IFERROR(IF(MAXIFS(Orders!E:E,Orders!B:B,A11)=0,"",MAXIFS(Orders!E:E,Orders!B:B,A11)),"")</f>
        <v/>
      </c>
      <c r="J11" s="5">
        <f>IF(A11="","",COUNTIF(Orders!B:B,A11))</f>
        <v/>
      </c>
      <c r="K11" s="5">
        <f>IF(A11="","",SUMIF(Orders!B:B,A11,Orders!K:K))</f>
        <v/>
      </c>
      <c r="L11" s="7" t="inlineStr">
        <is>
          <t>Y</t>
        </is>
      </c>
      <c r="M11" s="6" t="n">
        <v>46154</v>
      </c>
      <c r="N11" s="7" t="inlineStr">
        <is>
          <t>Referred Lakshmi Nair; potential repeat referrer — treat well</t>
        </is>
      </c>
    </row>
    <row r="12">
      <c r="I12" s="5">
        <f>IFERROR(IF(MAXIFS(Orders!E:E,Orders!B:B,A12)=0,"",MAXIFS(Orders!E:E,Orders!B:B,A12)),"")</f>
        <v/>
      </c>
      <c r="J12" s="5">
        <f>IF(A12="","",COUNTIF(Orders!B:B,A12))</f>
        <v/>
      </c>
      <c r="K12" s="5">
        <f>IF(A12="","",SUMIF(Orders!B:B,A12,Orders!K:K))</f>
        <v/>
      </c>
    </row>
    <row r="13">
      <c r="I13" s="5">
        <f>IFERROR(IF(MAXIFS(Orders!E:E,Orders!B:B,A13)=0,"",MAXIFS(Orders!E:E,Orders!B:B,A13)),"")</f>
        <v/>
      </c>
      <c r="J13" s="5">
        <f>IF(A13="","",COUNTIF(Orders!B:B,A13))</f>
        <v/>
      </c>
      <c r="K13" s="5">
        <f>IF(A13="","",SUMIF(Orders!B:B,A13,Orders!K:K))</f>
        <v/>
      </c>
    </row>
    <row r="14">
      <c r="I14" s="5">
        <f>IFERROR(IF(MAXIFS(Orders!E:E,Orders!B:B,A14)=0,"",MAXIFS(Orders!E:E,Orders!B:B,A14)),"")</f>
        <v/>
      </c>
      <c r="J14" s="5">
        <f>IF(A14="","",COUNTIF(Orders!B:B,A14))</f>
        <v/>
      </c>
      <c r="K14" s="5">
        <f>IF(A14="","",SUMIF(Orders!B:B,A14,Orders!K:K))</f>
        <v/>
      </c>
    </row>
    <row r="15">
      <c r="I15" s="5">
        <f>IFERROR(IF(MAXIFS(Orders!E:E,Orders!B:B,A15)=0,"",MAXIFS(Orders!E:E,Orders!B:B,A15)),"")</f>
        <v/>
      </c>
      <c r="J15" s="5">
        <f>IF(A15="","",COUNTIF(Orders!B:B,A15))</f>
        <v/>
      </c>
      <c r="K15" s="5">
        <f>IF(A15="","",SUMIF(Orders!B:B,A15,Orders!K:K))</f>
        <v/>
      </c>
    </row>
    <row r="16">
      <c r="I16" s="5">
        <f>IFERROR(IF(MAXIFS(Orders!E:E,Orders!B:B,A16)=0,"",MAXIFS(Orders!E:E,Orders!B:B,A16)),"")</f>
        <v/>
      </c>
      <c r="J16" s="5">
        <f>IF(A16="","",COUNTIF(Orders!B:B,A16))</f>
        <v/>
      </c>
      <c r="K16" s="5">
        <f>IF(A16="","",SUMIF(Orders!B:B,A16,Orders!K:K))</f>
        <v/>
      </c>
    </row>
    <row r="17">
      <c r="I17" s="5">
        <f>IFERROR(IF(MAXIFS(Orders!E:E,Orders!B:B,A17)=0,"",MAXIFS(Orders!E:E,Orders!B:B,A17)),"")</f>
        <v/>
      </c>
      <c r="J17" s="5">
        <f>IF(A17="","",COUNTIF(Orders!B:B,A17))</f>
        <v/>
      </c>
      <c r="K17" s="5">
        <f>IF(A17="","",SUMIF(Orders!B:B,A17,Orders!K:K))</f>
        <v/>
      </c>
    </row>
    <row r="18">
      <c r="I18" s="5">
        <f>IFERROR(IF(MAXIFS(Orders!E:E,Orders!B:B,A18)=0,"",MAXIFS(Orders!E:E,Orders!B:B,A18)),"")</f>
        <v/>
      </c>
      <c r="J18" s="5">
        <f>IF(A18="","",COUNTIF(Orders!B:B,A18))</f>
        <v/>
      </c>
      <c r="K18" s="5">
        <f>IF(A18="","",SUMIF(Orders!B:B,A18,Orders!K:K))</f>
        <v/>
      </c>
    </row>
    <row r="19">
      <c r="I19" s="5">
        <f>IFERROR(IF(MAXIFS(Orders!E:E,Orders!B:B,A19)=0,"",MAXIFS(Orders!E:E,Orders!B:B,A19)),"")</f>
        <v/>
      </c>
      <c r="J19" s="5">
        <f>IF(A19="","",COUNTIF(Orders!B:B,A19))</f>
        <v/>
      </c>
      <c r="K19" s="5">
        <f>IF(A19="","",SUMIF(Orders!B:B,A19,Orders!K:K))</f>
        <v/>
      </c>
    </row>
    <row r="20">
      <c r="I20" s="5">
        <f>IFERROR(IF(MAXIFS(Orders!E:E,Orders!B:B,A20)=0,"",MAXIFS(Orders!E:E,Orders!B:B,A20)),"")</f>
        <v/>
      </c>
      <c r="J20" s="5">
        <f>IF(A20="","",COUNTIF(Orders!B:B,A20))</f>
        <v/>
      </c>
      <c r="K20" s="5">
        <f>IF(A20="","",SUMIF(Orders!B:B,A20,Orders!K:K))</f>
        <v/>
      </c>
    </row>
    <row r="21">
      <c r="I21" s="5">
        <f>IFERROR(IF(MAXIFS(Orders!E:E,Orders!B:B,A21)=0,"",MAXIFS(Orders!E:E,Orders!B:B,A21)),"")</f>
        <v/>
      </c>
      <c r="J21" s="5">
        <f>IF(A21="","",COUNTIF(Orders!B:B,A21))</f>
        <v/>
      </c>
      <c r="K21" s="5">
        <f>IF(A21="","",SUMIF(Orders!B:B,A21,Orders!K:K))</f>
        <v/>
      </c>
    </row>
    <row r="22">
      <c r="I22" s="5">
        <f>IFERROR(IF(MAXIFS(Orders!E:E,Orders!B:B,A22)=0,"",MAXIFS(Orders!E:E,Orders!B:B,A22)),"")</f>
        <v/>
      </c>
      <c r="J22" s="5">
        <f>IF(A22="","",COUNTIF(Orders!B:B,A22))</f>
        <v/>
      </c>
      <c r="K22" s="5">
        <f>IF(A22="","",SUMIF(Orders!B:B,A22,Orders!K:K))</f>
        <v/>
      </c>
    </row>
    <row r="23">
      <c r="I23" s="5">
        <f>IFERROR(IF(MAXIFS(Orders!E:E,Orders!B:B,A23)=0,"",MAXIFS(Orders!E:E,Orders!B:B,A23)),"")</f>
        <v/>
      </c>
      <c r="J23" s="5">
        <f>IF(A23="","",COUNTIF(Orders!B:B,A23))</f>
        <v/>
      </c>
      <c r="K23" s="5">
        <f>IF(A23="","",SUMIF(Orders!B:B,A23,Orders!K:K))</f>
        <v/>
      </c>
    </row>
    <row r="24">
      <c r="I24" s="5">
        <f>IFERROR(IF(MAXIFS(Orders!E:E,Orders!B:B,A24)=0,"",MAXIFS(Orders!E:E,Orders!B:B,A24)),"")</f>
        <v/>
      </c>
      <c r="J24" s="5">
        <f>IF(A24="","",COUNTIF(Orders!B:B,A24))</f>
        <v/>
      </c>
      <c r="K24" s="5">
        <f>IF(A24="","",SUMIF(Orders!B:B,A24,Orders!K:K))</f>
        <v/>
      </c>
    </row>
    <row r="25">
      <c r="I25" s="5">
        <f>IFERROR(IF(MAXIFS(Orders!E:E,Orders!B:B,A25)=0,"",MAXIFS(Orders!E:E,Orders!B:B,A25)),"")</f>
        <v/>
      </c>
      <c r="J25" s="5">
        <f>IF(A25="","",COUNTIF(Orders!B:B,A25))</f>
        <v/>
      </c>
      <c r="K25" s="5">
        <f>IF(A25="","",SUMIF(Orders!B:B,A25,Orders!K:K))</f>
        <v/>
      </c>
    </row>
    <row r="26">
      <c r="I26" s="5">
        <f>IFERROR(IF(MAXIFS(Orders!E:E,Orders!B:B,A26)=0,"",MAXIFS(Orders!E:E,Orders!B:B,A26)),"")</f>
        <v/>
      </c>
      <c r="J26" s="5">
        <f>IF(A26="","",COUNTIF(Orders!B:B,A26))</f>
        <v/>
      </c>
      <c r="K26" s="5">
        <f>IF(A26="","",SUMIF(Orders!B:B,A26,Orders!K:K))</f>
        <v/>
      </c>
    </row>
    <row r="27">
      <c r="I27" s="5">
        <f>IFERROR(IF(MAXIFS(Orders!E:E,Orders!B:B,A27)=0,"",MAXIFS(Orders!E:E,Orders!B:B,A27)),"")</f>
        <v/>
      </c>
      <c r="J27" s="5">
        <f>IF(A27="","",COUNTIF(Orders!B:B,A27))</f>
        <v/>
      </c>
      <c r="K27" s="5">
        <f>IF(A27="","",SUMIF(Orders!B:B,A27,Orders!K:K))</f>
        <v/>
      </c>
    </row>
    <row r="28">
      <c r="I28" s="5">
        <f>IFERROR(IF(MAXIFS(Orders!E:E,Orders!B:B,A28)=0,"",MAXIFS(Orders!E:E,Orders!B:B,A28)),"")</f>
        <v/>
      </c>
      <c r="J28" s="5">
        <f>IF(A28="","",COUNTIF(Orders!B:B,A28))</f>
        <v/>
      </c>
      <c r="K28" s="5">
        <f>IF(A28="","",SUMIF(Orders!B:B,A28,Orders!K:K))</f>
        <v/>
      </c>
    </row>
    <row r="29">
      <c r="I29" s="5">
        <f>IFERROR(IF(MAXIFS(Orders!E:E,Orders!B:B,A29)=0,"",MAXIFS(Orders!E:E,Orders!B:B,A29)),"")</f>
        <v/>
      </c>
      <c r="J29" s="5">
        <f>IF(A29="","",COUNTIF(Orders!B:B,A29))</f>
        <v/>
      </c>
      <c r="K29" s="5">
        <f>IF(A29="","",SUMIF(Orders!B:B,A29,Orders!K:K))</f>
        <v/>
      </c>
    </row>
    <row r="30">
      <c r="I30" s="5">
        <f>IFERROR(IF(MAXIFS(Orders!E:E,Orders!B:B,A30)=0,"",MAXIFS(Orders!E:E,Orders!B:B,A30)),"")</f>
        <v/>
      </c>
      <c r="J30" s="5">
        <f>IF(A30="","",COUNTIF(Orders!B:B,A30))</f>
        <v/>
      </c>
      <c r="K30" s="5">
        <f>IF(A30="","",SUMIF(Orders!B:B,A30,Orders!K:K))</f>
        <v/>
      </c>
    </row>
    <row r="31">
      <c r="I31" s="5">
        <f>IFERROR(IF(MAXIFS(Orders!E:E,Orders!B:B,A31)=0,"",MAXIFS(Orders!E:E,Orders!B:B,A31)),"")</f>
        <v/>
      </c>
      <c r="J31" s="5">
        <f>IF(A31="","",COUNTIF(Orders!B:B,A31))</f>
        <v/>
      </c>
      <c r="K31" s="5">
        <f>IF(A31="","",SUMIF(Orders!B:B,A31,Orders!K:K))</f>
        <v/>
      </c>
    </row>
    <row r="32">
      <c r="I32" s="5">
        <f>IFERROR(IF(MAXIFS(Orders!E:E,Orders!B:B,A32)=0,"",MAXIFS(Orders!E:E,Orders!B:B,A32)),"")</f>
        <v/>
      </c>
      <c r="J32" s="5">
        <f>IF(A32="","",COUNTIF(Orders!B:B,A32))</f>
        <v/>
      </c>
      <c r="K32" s="5">
        <f>IF(A32="","",SUMIF(Orders!B:B,A32,Orders!K:K))</f>
        <v/>
      </c>
    </row>
    <row r="33">
      <c r="I33" s="5">
        <f>IFERROR(IF(MAXIFS(Orders!E:E,Orders!B:B,A33)=0,"",MAXIFS(Orders!E:E,Orders!B:B,A33)),"")</f>
        <v/>
      </c>
      <c r="J33" s="5">
        <f>IF(A33="","",COUNTIF(Orders!B:B,A33))</f>
        <v/>
      </c>
      <c r="K33" s="5">
        <f>IF(A33="","",SUMIF(Orders!B:B,A33,Orders!K:K))</f>
        <v/>
      </c>
    </row>
    <row r="34">
      <c r="I34" s="5">
        <f>IFERROR(IF(MAXIFS(Orders!E:E,Orders!B:B,A34)=0,"",MAXIFS(Orders!E:E,Orders!B:B,A34)),"")</f>
        <v/>
      </c>
      <c r="J34" s="5">
        <f>IF(A34="","",COUNTIF(Orders!B:B,A34))</f>
        <v/>
      </c>
      <c r="K34" s="5">
        <f>IF(A34="","",SUMIF(Orders!B:B,A34,Orders!K:K))</f>
        <v/>
      </c>
    </row>
    <row r="35">
      <c r="I35" s="5">
        <f>IFERROR(IF(MAXIFS(Orders!E:E,Orders!B:B,A35)=0,"",MAXIFS(Orders!E:E,Orders!B:B,A35)),"")</f>
        <v/>
      </c>
      <c r="J35" s="5">
        <f>IF(A35="","",COUNTIF(Orders!B:B,A35))</f>
        <v/>
      </c>
      <c r="K35" s="5">
        <f>IF(A35="","",SUMIF(Orders!B:B,A35,Orders!K:K))</f>
        <v/>
      </c>
    </row>
    <row r="36">
      <c r="I36" s="5">
        <f>IFERROR(IF(MAXIFS(Orders!E:E,Orders!B:B,A36)=0,"",MAXIFS(Orders!E:E,Orders!B:B,A36)),"")</f>
        <v/>
      </c>
      <c r="J36" s="5">
        <f>IF(A36="","",COUNTIF(Orders!B:B,A36))</f>
        <v/>
      </c>
      <c r="K36" s="5">
        <f>IF(A36="","",SUMIF(Orders!B:B,A36,Orders!K:K))</f>
        <v/>
      </c>
    </row>
    <row r="37">
      <c r="I37" s="5">
        <f>IFERROR(IF(MAXIFS(Orders!E:E,Orders!B:B,A37)=0,"",MAXIFS(Orders!E:E,Orders!B:B,A37)),"")</f>
        <v/>
      </c>
      <c r="J37" s="5">
        <f>IF(A37="","",COUNTIF(Orders!B:B,A37))</f>
        <v/>
      </c>
      <c r="K37" s="5">
        <f>IF(A37="","",SUMIF(Orders!B:B,A37,Orders!K:K))</f>
        <v/>
      </c>
    </row>
    <row r="38">
      <c r="I38" s="5">
        <f>IFERROR(IF(MAXIFS(Orders!E:E,Orders!B:B,A38)=0,"",MAXIFS(Orders!E:E,Orders!B:B,A38)),"")</f>
        <v/>
      </c>
      <c r="J38" s="5">
        <f>IF(A38="","",COUNTIF(Orders!B:B,A38))</f>
        <v/>
      </c>
      <c r="K38" s="5">
        <f>IF(A38="","",SUMIF(Orders!B:B,A38,Orders!K:K))</f>
        <v/>
      </c>
    </row>
    <row r="39">
      <c r="I39" s="5">
        <f>IFERROR(IF(MAXIFS(Orders!E:E,Orders!B:B,A39)=0,"",MAXIFS(Orders!E:E,Orders!B:B,A39)),"")</f>
        <v/>
      </c>
      <c r="J39" s="5">
        <f>IF(A39="","",COUNTIF(Orders!B:B,A39))</f>
        <v/>
      </c>
      <c r="K39" s="5">
        <f>IF(A39="","",SUMIF(Orders!B:B,A39,Orders!K:K))</f>
        <v/>
      </c>
    </row>
    <row r="40">
      <c r="I40" s="5">
        <f>IFERROR(IF(MAXIFS(Orders!E:E,Orders!B:B,A40)=0,"",MAXIFS(Orders!E:E,Orders!B:B,A40)),"")</f>
        <v/>
      </c>
      <c r="J40" s="5">
        <f>IF(A40="","",COUNTIF(Orders!B:B,A40))</f>
        <v/>
      </c>
      <c r="K40" s="5">
        <f>IF(A40="","",SUMIF(Orders!B:B,A40,Orders!K:K))</f>
        <v/>
      </c>
    </row>
    <row r="41">
      <c r="I41" s="5">
        <f>IFERROR(IF(MAXIFS(Orders!E:E,Orders!B:B,A41)=0,"",MAXIFS(Orders!E:E,Orders!B:B,A41)),"")</f>
        <v/>
      </c>
      <c r="J41" s="5">
        <f>IF(A41="","",COUNTIF(Orders!B:B,A41))</f>
        <v/>
      </c>
      <c r="K41" s="5">
        <f>IF(A41="","",SUMIF(Orders!B:B,A41,Orders!K:K))</f>
        <v/>
      </c>
    </row>
    <row r="42">
      <c r="I42" s="5">
        <f>IFERROR(IF(MAXIFS(Orders!E:E,Orders!B:B,A42)=0,"",MAXIFS(Orders!E:E,Orders!B:B,A42)),"")</f>
        <v/>
      </c>
      <c r="J42" s="5">
        <f>IF(A42="","",COUNTIF(Orders!B:B,A42))</f>
        <v/>
      </c>
      <c r="K42" s="5">
        <f>IF(A42="","",SUMIF(Orders!B:B,A42,Orders!K:K))</f>
        <v/>
      </c>
    </row>
    <row r="43">
      <c r="I43" s="5">
        <f>IFERROR(IF(MAXIFS(Orders!E:E,Orders!B:B,A43)=0,"",MAXIFS(Orders!E:E,Orders!B:B,A43)),"")</f>
        <v/>
      </c>
      <c r="J43" s="5">
        <f>IF(A43="","",COUNTIF(Orders!B:B,A43))</f>
        <v/>
      </c>
      <c r="K43" s="5">
        <f>IF(A43="","",SUMIF(Orders!B:B,A43,Orders!K:K))</f>
        <v/>
      </c>
    </row>
    <row r="44">
      <c r="I44" s="5">
        <f>IFERROR(IF(MAXIFS(Orders!E:E,Orders!B:B,A44)=0,"",MAXIFS(Orders!E:E,Orders!B:B,A44)),"")</f>
        <v/>
      </c>
      <c r="J44" s="5">
        <f>IF(A44="","",COUNTIF(Orders!B:B,A44))</f>
        <v/>
      </c>
      <c r="K44" s="5">
        <f>IF(A44="","",SUMIF(Orders!B:B,A44,Orders!K:K))</f>
        <v/>
      </c>
    </row>
    <row r="45">
      <c r="I45" s="5">
        <f>IFERROR(IF(MAXIFS(Orders!E:E,Orders!B:B,A45)=0,"",MAXIFS(Orders!E:E,Orders!B:B,A45)),"")</f>
        <v/>
      </c>
      <c r="J45" s="5">
        <f>IF(A45="","",COUNTIF(Orders!B:B,A45))</f>
        <v/>
      </c>
      <c r="K45" s="5">
        <f>IF(A45="","",SUMIF(Orders!B:B,A45,Orders!K:K))</f>
        <v/>
      </c>
    </row>
    <row r="46">
      <c r="I46" s="5">
        <f>IFERROR(IF(MAXIFS(Orders!E:E,Orders!B:B,A46)=0,"",MAXIFS(Orders!E:E,Orders!B:B,A46)),"")</f>
        <v/>
      </c>
      <c r="J46" s="5">
        <f>IF(A46="","",COUNTIF(Orders!B:B,A46))</f>
        <v/>
      </c>
      <c r="K46" s="5">
        <f>IF(A46="","",SUMIF(Orders!B:B,A46,Orders!K:K))</f>
        <v/>
      </c>
    </row>
    <row r="47">
      <c r="I47" s="5">
        <f>IFERROR(IF(MAXIFS(Orders!E:E,Orders!B:B,A47)=0,"",MAXIFS(Orders!E:E,Orders!B:B,A47)),"")</f>
        <v/>
      </c>
      <c r="J47" s="5">
        <f>IF(A47="","",COUNTIF(Orders!B:B,A47))</f>
        <v/>
      </c>
      <c r="K47" s="5">
        <f>IF(A47="","",SUMIF(Orders!B:B,A47,Orders!K:K))</f>
        <v/>
      </c>
    </row>
    <row r="48">
      <c r="I48" s="5">
        <f>IFERROR(IF(MAXIFS(Orders!E:E,Orders!B:B,A48)=0,"",MAXIFS(Orders!E:E,Orders!B:B,A48)),"")</f>
        <v/>
      </c>
      <c r="J48" s="5">
        <f>IF(A48="","",COUNTIF(Orders!B:B,A48))</f>
        <v/>
      </c>
      <c r="K48" s="5">
        <f>IF(A48="","",SUMIF(Orders!B:B,A48,Orders!K:K))</f>
        <v/>
      </c>
    </row>
    <row r="49">
      <c r="I49" s="5">
        <f>IFERROR(IF(MAXIFS(Orders!E:E,Orders!B:B,A49)=0,"",MAXIFS(Orders!E:E,Orders!B:B,A49)),"")</f>
        <v/>
      </c>
      <c r="J49" s="5">
        <f>IF(A49="","",COUNTIF(Orders!B:B,A49))</f>
        <v/>
      </c>
      <c r="K49" s="5">
        <f>IF(A49="","",SUMIF(Orders!B:B,A49,Orders!K:K))</f>
        <v/>
      </c>
    </row>
    <row r="50">
      <c r="I50" s="5">
        <f>IFERROR(IF(MAXIFS(Orders!E:E,Orders!B:B,A50)=0,"",MAXIFS(Orders!E:E,Orders!B:B,A50)),"")</f>
        <v/>
      </c>
      <c r="J50" s="5">
        <f>IF(A50="","",COUNTIF(Orders!B:B,A50))</f>
        <v/>
      </c>
      <c r="K50" s="5">
        <f>IF(A50="","",SUMIF(Orders!B:B,A50,Orders!K:K))</f>
        <v/>
      </c>
    </row>
    <row r="51">
      <c r="I51" s="5">
        <f>IFERROR(IF(MAXIFS(Orders!E:E,Orders!B:B,A51)=0,"",MAXIFS(Orders!E:E,Orders!B:B,A51)),"")</f>
        <v/>
      </c>
      <c r="J51" s="5">
        <f>IF(A51="","",COUNTIF(Orders!B:B,A51))</f>
        <v/>
      </c>
      <c r="K51" s="5">
        <f>IF(A51="","",SUMIF(Orders!B:B,A51,Orders!K:K))</f>
        <v/>
      </c>
    </row>
    <row r="52">
      <c r="I52" s="5">
        <f>IFERROR(IF(MAXIFS(Orders!E:E,Orders!B:B,A52)=0,"",MAXIFS(Orders!E:E,Orders!B:B,A52)),"")</f>
        <v/>
      </c>
      <c r="J52" s="5">
        <f>IF(A52="","",COUNTIF(Orders!B:B,A52))</f>
        <v/>
      </c>
      <c r="K52" s="5">
        <f>IF(A52="","",SUMIF(Orders!B:B,A52,Orders!K:K))</f>
        <v/>
      </c>
    </row>
    <row r="53">
      <c r="I53" s="5">
        <f>IFERROR(IF(MAXIFS(Orders!E:E,Orders!B:B,A53)=0,"",MAXIFS(Orders!E:E,Orders!B:B,A53)),"")</f>
        <v/>
      </c>
      <c r="J53" s="5">
        <f>IF(A53="","",COUNTIF(Orders!B:B,A53))</f>
        <v/>
      </c>
      <c r="K53" s="5">
        <f>IF(A53="","",SUMIF(Orders!B:B,A53,Orders!K:K))</f>
        <v/>
      </c>
    </row>
    <row r="54">
      <c r="I54" s="5">
        <f>IFERROR(IF(MAXIFS(Orders!E:E,Orders!B:B,A54)=0,"",MAXIFS(Orders!E:E,Orders!B:B,A54)),"")</f>
        <v/>
      </c>
      <c r="J54" s="5">
        <f>IF(A54="","",COUNTIF(Orders!B:B,A54))</f>
        <v/>
      </c>
      <c r="K54" s="5">
        <f>IF(A54="","",SUMIF(Orders!B:B,A54,Orders!K:K))</f>
        <v/>
      </c>
    </row>
    <row r="55">
      <c r="I55" s="5">
        <f>IFERROR(IF(MAXIFS(Orders!E:E,Orders!B:B,A55)=0,"",MAXIFS(Orders!E:E,Orders!B:B,A55)),"")</f>
        <v/>
      </c>
      <c r="J55" s="5">
        <f>IF(A55="","",COUNTIF(Orders!B:B,A55))</f>
        <v/>
      </c>
      <c r="K55" s="5">
        <f>IF(A55="","",SUMIF(Orders!B:B,A55,Orders!K:K))</f>
        <v/>
      </c>
    </row>
    <row r="56">
      <c r="I56" s="5">
        <f>IFERROR(IF(MAXIFS(Orders!E:E,Orders!B:B,A56)=0,"",MAXIFS(Orders!E:E,Orders!B:B,A56)),"")</f>
        <v/>
      </c>
      <c r="J56" s="5">
        <f>IF(A56="","",COUNTIF(Orders!B:B,A56))</f>
        <v/>
      </c>
      <c r="K56" s="5">
        <f>IF(A56="","",SUMIF(Orders!B:B,A56,Orders!K:K))</f>
        <v/>
      </c>
    </row>
    <row r="57">
      <c r="I57" s="5">
        <f>IFERROR(IF(MAXIFS(Orders!E:E,Orders!B:B,A57)=0,"",MAXIFS(Orders!E:E,Orders!B:B,A57)),"")</f>
        <v/>
      </c>
      <c r="J57" s="5">
        <f>IF(A57="","",COUNTIF(Orders!B:B,A57))</f>
        <v/>
      </c>
      <c r="K57" s="5">
        <f>IF(A57="","",SUMIF(Orders!B:B,A57,Orders!K:K))</f>
        <v/>
      </c>
    </row>
    <row r="58">
      <c r="I58" s="5">
        <f>IFERROR(IF(MAXIFS(Orders!E:E,Orders!B:B,A58)=0,"",MAXIFS(Orders!E:E,Orders!B:B,A58)),"")</f>
        <v/>
      </c>
      <c r="J58" s="5">
        <f>IF(A58="","",COUNTIF(Orders!B:B,A58))</f>
        <v/>
      </c>
      <c r="K58" s="5">
        <f>IF(A58="","",SUMIF(Orders!B:B,A58,Orders!K:K))</f>
        <v/>
      </c>
    </row>
    <row r="59">
      <c r="I59" s="5">
        <f>IFERROR(IF(MAXIFS(Orders!E:E,Orders!B:B,A59)=0,"",MAXIFS(Orders!E:E,Orders!B:B,A59)),"")</f>
        <v/>
      </c>
      <c r="J59" s="5">
        <f>IF(A59="","",COUNTIF(Orders!B:B,A59))</f>
        <v/>
      </c>
      <c r="K59" s="5">
        <f>IF(A59="","",SUMIF(Orders!B:B,A59,Orders!K:K))</f>
        <v/>
      </c>
    </row>
    <row r="60">
      <c r="I60" s="5">
        <f>IFERROR(IF(MAXIFS(Orders!E:E,Orders!B:B,A60)=0,"",MAXIFS(Orders!E:E,Orders!B:B,A60)),"")</f>
        <v/>
      </c>
      <c r="J60" s="5">
        <f>IF(A60="","",COUNTIF(Orders!B:B,A60))</f>
        <v/>
      </c>
      <c r="K60" s="5">
        <f>IF(A60="","",SUMIF(Orders!B:B,A60,Orders!K:K))</f>
        <v/>
      </c>
    </row>
    <row r="61">
      <c r="I61" s="5">
        <f>IFERROR(IF(MAXIFS(Orders!E:E,Orders!B:B,A61)=0,"",MAXIFS(Orders!E:E,Orders!B:B,A61)),"")</f>
        <v/>
      </c>
      <c r="J61" s="5">
        <f>IF(A61="","",COUNTIF(Orders!B:B,A61))</f>
        <v/>
      </c>
      <c r="K61" s="5">
        <f>IF(A61="","",SUMIF(Orders!B:B,A61,Orders!K:K))</f>
        <v/>
      </c>
    </row>
    <row r="62">
      <c r="I62" s="5">
        <f>IFERROR(IF(MAXIFS(Orders!E:E,Orders!B:B,A62)=0,"",MAXIFS(Orders!E:E,Orders!B:B,A62)),"")</f>
        <v/>
      </c>
      <c r="J62" s="5">
        <f>IF(A62="","",COUNTIF(Orders!B:B,A62))</f>
        <v/>
      </c>
      <c r="K62" s="5">
        <f>IF(A62="","",SUMIF(Orders!B:B,A62,Orders!K:K))</f>
        <v/>
      </c>
    </row>
    <row r="63">
      <c r="I63" s="5">
        <f>IFERROR(IF(MAXIFS(Orders!E:E,Orders!B:B,A63)=0,"",MAXIFS(Orders!E:E,Orders!B:B,A63)),"")</f>
        <v/>
      </c>
      <c r="J63" s="5">
        <f>IF(A63="","",COUNTIF(Orders!B:B,A63))</f>
        <v/>
      </c>
      <c r="K63" s="5">
        <f>IF(A63="","",SUMIF(Orders!B:B,A63,Orders!K:K))</f>
        <v/>
      </c>
    </row>
    <row r="64">
      <c r="I64" s="5">
        <f>IFERROR(IF(MAXIFS(Orders!E:E,Orders!B:B,A64)=0,"",MAXIFS(Orders!E:E,Orders!B:B,A64)),"")</f>
        <v/>
      </c>
      <c r="J64" s="5">
        <f>IF(A64="","",COUNTIF(Orders!B:B,A64))</f>
        <v/>
      </c>
      <c r="K64" s="5">
        <f>IF(A64="","",SUMIF(Orders!B:B,A64,Orders!K:K))</f>
        <v/>
      </c>
    </row>
    <row r="65">
      <c r="I65" s="5">
        <f>IFERROR(IF(MAXIFS(Orders!E:E,Orders!B:B,A65)=0,"",MAXIFS(Orders!E:E,Orders!B:B,A65)),"")</f>
        <v/>
      </c>
      <c r="J65" s="5">
        <f>IF(A65="","",COUNTIF(Orders!B:B,A65))</f>
        <v/>
      </c>
      <c r="K65" s="5">
        <f>IF(A65="","",SUMIF(Orders!B:B,A65,Orders!K:K))</f>
        <v/>
      </c>
    </row>
    <row r="66">
      <c r="I66" s="5">
        <f>IFERROR(IF(MAXIFS(Orders!E:E,Orders!B:B,A66)=0,"",MAXIFS(Orders!E:E,Orders!B:B,A66)),"")</f>
        <v/>
      </c>
      <c r="J66" s="5">
        <f>IF(A66="","",COUNTIF(Orders!B:B,A66))</f>
        <v/>
      </c>
      <c r="K66" s="5">
        <f>IF(A66="","",SUMIF(Orders!B:B,A66,Orders!K:K))</f>
        <v/>
      </c>
    </row>
    <row r="67">
      <c r="I67" s="5">
        <f>IFERROR(IF(MAXIFS(Orders!E:E,Orders!B:B,A67)=0,"",MAXIFS(Orders!E:E,Orders!B:B,A67)),"")</f>
        <v/>
      </c>
      <c r="J67" s="5">
        <f>IF(A67="","",COUNTIF(Orders!B:B,A67))</f>
        <v/>
      </c>
      <c r="K67" s="5">
        <f>IF(A67="","",SUMIF(Orders!B:B,A67,Orders!K:K))</f>
        <v/>
      </c>
    </row>
    <row r="68">
      <c r="I68" s="5">
        <f>IFERROR(IF(MAXIFS(Orders!E:E,Orders!B:B,A68)=0,"",MAXIFS(Orders!E:E,Orders!B:B,A68)),"")</f>
        <v/>
      </c>
      <c r="J68" s="5">
        <f>IF(A68="","",COUNTIF(Orders!B:B,A68))</f>
        <v/>
      </c>
      <c r="K68" s="5">
        <f>IF(A68="","",SUMIF(Orders!B:B,A68,Orders!K:K))</f>
        <v/>
      </c>
    </row>
    <row r="69">
      <c r="I69" s="5">
        <f>IFERROR(IF(MAXIFS(Orders!E:E,Orders!B:B,A69)=0,"",MAXIFS(Orders!E:E,Orders!B:B,A69)),"")</f>
        <v/>
      </c>
      <c r="J69" s="5">
        <f>IF(A69="","",COUNTIF(Orders!B:B,A69))</f>
        <v/>
      </c>
      <c r="K69" s="5">
        <f>IF(A69="","",SUMIF(Orders!B:B,A69,Orders!K:K))</f>
        <v/>
      </c>
    </row>
    <row r="70">
      <c r="I70" s="5">
        <f>IFERROR(IF(MAXIFS(Orders!E:E,Orders!B:B,A70)=0,"",MAXIFS(Orders!E:E,Orders!B:B,A70)),"")</f>
        <v/>
      </c>
      <c r="J70" s="5">
        <f>IF(A70="","",COUNTIF(Orders!B:B,A70))</f>
        <v/>
      </c>
      <c r="K70" s="5">
        <f>IF(A70="","",SUMIF(Orders!B:B,A70,Orders!K:K))</f>
        <v/>
      </c>
    </row>
    <row r="71">
      <c r="I71" s="5">
        <f>IFERROR(IF(MAXIFS(Orders!E:E,Orders!B:B,A71)=0,"",MAXIFS(Orders!E:E,Orders!B:B,A71)),"")</f>
        <v/>
      </c>
      <c r="J71" s="5">
        <f>IF(A71="","",COUNTIF(Orders!B:B,A71))</f>
        <v/>
      </c>
      <c r="K71" s="5">
        <f>IF(A71="","",SUMIF(Orders!B:B,A71,Orders!K:K))</f>
        <v/>
      </c>
    </row>
    <row r="72">
      <c r="I72" s="5">
        <f>IFERROR(IF(MAXIFS(Orders!E:E,Orders!B:B,A72)=0,"",MAXIFS(Orders!E:E,Orders!B:B,A72)),"")</f>
        <v/>
      </c>
      <c r="J72" s="5">
        <f>IF(A72="","",COUNTIF(Orders!B:B,A72))</f>
        <v/>
      </c>
      <c r="K72" s="5">
        <f>IF(A72="","",SUMIF(Orders!B:B,A72,Orders!K:K))</f>
        <v/>
      </c>
    </row>
    <row r="73">
      <c r="I73" s="5">
        <f>IFERROR(IF(MAXIFS(Orders!E:E,Orders!B:B,A73)=0,"",MAXIFS(Orders!E:E,Orders!B:B,A73)),"")</f>
        <v/>
      </c>
      <c r="J73" s="5">
        <f>IF(A73="","",COUNTIF(Orders!B:B,A73))</f>
        <v/>
      </c>
      <c r="K73" s="5">
        <f>IF(A73="","",SUMIF(Orders!B:B,A73,Orders!K:K))</f>
        <v/>
      </c>
    </row>
    <row r="74">
      <c r="I74" s="5">
        <f>IFERROR(IF(MAXIFS(Orders!E:E,Orders!B:B,A74)=0,"",MAXIFS(Orders!E:E,Orders!B:B,A74)),"")</f>
        <v/>
      </c>
      <c r="J74" s="5">
        <f>IF(A74="","",COUNTIF(Orders!B:B,A74))</f>
        <v/>
      </c>
      <c r="K74" s="5">
        <f>IF(A74="","",SUMIF(Orders!B:B,A74,Orders!K:K))</f>
        <v/>
      </c>
    </row>
    <row r="75">
      <c r="I75" s="5">
        <f>IFERROR(IF(MAXIFS(Orders!E:E,Orders!B:B,A75)=0,"",MAXIFS(Orders!E:E,Orders!B:B,A75)),"")</f>
        <v/>
      </c>
      <c r="J75" s="5">
        <f>IF(A75="","",COUNTIF(Orders!B:B,A75))</f>
        <v/>
      </c>
      <c r="K75" s="5">
        <f>IF(A75="","",SUMIF(Orders!B:B,A75,Orders!K:K))</f>
        <v/>
      </c>
    </row>
    <row r="76">
      <c r="I76" s="5">
        <f>IFERROR(IF(MAXIFS(Orders!E:E,Orders!B:B,A76)=0,"",MAXIFS(Orders!E:E,Orders!B:B,A76)),"")</f>
        <v/>
      </c>
      <c r="J76" s="5">
        <f>IF(A76="","",COUNTIF(Orders!B:B,A76))</f>
        <v/>
      </c>
      <c r="K76" s="5">
        <f>IF(A76="","",SUMIF(Orders!B:B,A76,Orders!K:K))</f>
        <v/>
      </c>
    </row>
    <row r="77">
      <c r="I77" s="5">
        <f>IFERROR(IF(MAXIFS(Orders!E:E,Orders!B:B,A77)=0,"",MAXIFS(Orders!E:E,Orders!B:B,A77)),"")</f>
        <v/>
      </c>
      <c r="J77" s="5">
        <f>IF(A77="","",COUNTIF(Orders!B:B,A77))</f>
        <v/>
      </c>
      <c r="K77" s="5">
        <f>IF(A77="","",SUMIF(Orders!B:B,A77,Orders!K:K))</f>
        <v/>
      </c>
    </row>
    <row r="78">
      <c r="I78" s="5">
        <f>IFERROR(IF(MAXIFS(Orders!E:E,Orders!B:B,A78)=0,"",MAXIFS(Orders!E:E,Orders!B:B,A78)),"")</f>
        <v/>
      </c>
      <c r="J78" s="5">
        <f>IF(A78="","",COUNTIF(Orders!B:B,A78))</f>
        <v/>
      </c>
      <c r="K78" s="5">
        <f>IF(A78="","",SUMIF(Orders!B:B,A78,Orders!K:K))</f>
        <v/>
      </c>
    </row>
    <row r="79">
      <c r="I79" s="5">
        <f>IFERROR(IF(MAXIFS(Orders!E:E,Orders!B:B,A79)=0,"",MAXIFS(Orders!E:E,Orders!B:B,A79)),"")</f>
        <v/>
      </c>
      <c r="J79" s="5">
        <f>IF(A79="","",COUNTIF(Orders!B:B,A79))</f>
        <v/>
      </c>
      <c r="K79" s="5">
        <f>IF(A79="","",SUMIF(Orders!B:B,A79,Orders!K:K))</f>
        <v/>
      </c>
    </row>
    <row r="80">
      <c r="I80" s="5">
        <f>IFERROR(IF(MAXIFS(Orders!E:E,Orders!B:B,A80)=0,"",MAXIFS(Orders!E:E,Orders!B:B,A80)),"")</f>
        <v/>
      </c>
      <c r="J80" s="5">
        <f>IF(A80="","",COUNTIF(Orders!B:B,A80))</f>
        <v/>
      </c>
      <c r="K80" s="5">
        <f>IF(A80="","",SUMIF(Orders!B:B,A80,Orders!K:K))</f>
        <v/>
      </c>
    </row>
    <row r="81">
      <c r="I81" s="5">
        <f>IFERROR(IF(MAXIFS(Orders!E:E,Orders!B:B,A81)=0,"",MAXIFS(Orders!E:E,Orders!B:B,A81)),"")</f>
        <v/>
      </c>
      <c r="J81" s="5">
        <f>IF(A81="","",COUNTIF(Orders!B:B,A81))</f>
        <v/>
      </c>
      <c r="K81" s="5">
        <f>IF(A81="","",SUMIF(Orders!B:B,A81,Orders!K:K))</f>
        <v/>
      </c>
    </row>
    <row r="82">
      <c r="I82" s="5">
        <f>IFERROR(IF(MAXIFS(Orders!E:E,Orders!B:B,A82)=0,"",MAXIFS(Orders!E:E,Orders!B:B,A82)),"")</f>
        <v/>
      </c>
      <c r="J82" s="5">
        <f>IF(A82="","",COUNTIF(Orders!B:B,A82))</f>
        <v/>
      </c>
      <c r="K82" s="5">
        <f>IF(A82="","",SUMIF(Orders!B:B,A82,Orders!K:K))</f>
        <v/>
      </c>
    </row>
    <row r="83">
      <c r="I83" s="5">
        <f>IFERROR(IF(MAXIFS(Orders!E:E,Orders!B:B,A83)=0,"",MAXIFS(Orders!E:E,Orders!B:B,A83)),"")</f>
        <v/>
      </c>
      <c r="J83" s="5">
        <f>IF(A83="","",COUNTIF(Orders!B:B,A83))</f>
        <v/>
      </c>
      <c r="K83" s="5">
        <f>IF(A83="","",SUMIF(Orders!B:B,A83,Orders!K:K))</f>
        <v/>
      </c>
    </row>
    <row r="84">
      <c r="I84" s="5">
        <f>IFERROR(IF(MAXIFS(Orders!E:E,Orders!B:B,A84)=0,"",MAXIFS(Orders!E:E,Orders!B:B,A84)),"")</f>
        <v/>
      </c>
      <c r="J84" s="5">
        <f>IF(A84="","",COUNTIF(Orders!B:B,A84))</f>
        <v/>
      </c>
      <c r="K84" s="5">
        <f>IF(A84="","",SUMIF(Orders!B:B,A84,Orders!K:K))</f>
        <v/>
      </c>
    </row>
    <row r="85">
      <c r="I85" s="5">
        <f>IFERROR(IF(MAXIFS(Orders!E:E,Orders!B:B,A85)=0,"",MAXIFS(Orders!E:E,Orders!B:B,A85)),"")</f>
        <v/>
      </c>
      <c r="J85" s="5">
        <f>IF(A85="","",COUNTIF(Orders!B:B,A85))</f>
        <v/>
      </c>
      <c r="K85" s="5">
        <f>IF(A85="","",SUMIF(Orders!B:B,A85,Orders!K:K))</f>
        <v/>
      </c>
    </row>
    <row r="86">
      <c r="I86" s="5">
        <f>IFERROR(IF(MAXIFS(Orders!E:E,Orders!B:B,A86)=0,"",MAXIFS(Orders!E:E,Orders!B:B,A86)),"")</f>
        <v/>
      </c>
      <c r="J86" s="5">
        <f>IF(A86="","",COUNTIF(Orders!B:B,A86))</f>
        <v/>
      </c>
      <c r="K86" s="5">
        <f>IF(A86="","",SUMIF(Orders!B:B,A86,Orders!K:K))</f>
        <v/>
      </c>
    </row>
    <row r="87">
      <c r="I87" s="5">
        <f>IFERROR(IF(MAXIFS(Orders!E:E,Orders!B:B,A87)=0,"",MAXIFS(Orders!E:E,Orders!B:B,A87)),"")</f>
        <v/>
      </c>
      <c r="J87" s="5">
        <f>IF(A87="","",COUNTIF(Orders!B:B,A87))</f>
        <v/>
      </c>
      <c r="K87" s="5">
        <f>IF(A87="","",SUMIF(Orders!B:B,A87,Orders!K:K))</f>
        <v/>
      </c>
    </row>
    <row r="88">
      <c r="I88" s="5">
        <f>IFERROR(IF(MAXIFS(Orders!E:E,Orders!B:B,A88)=0,"",MAXIFS(Orders!E:E,Orders!B:B,A88)),"")</f>
        <v/>
      </c>
      <c r="J88" s="5">
        <f>IF(A88="","",COUNTIF(Orders!B:B,A88))</f>
        <v/>
      </c>
      <c r="K88" s="5">
        <f>IF(A88="","",SUMIF(Orders!B:B,A88,Orders!K:K))</f>
        <v/>
      </c>
    </row>
    <row r="89">
      <c r="I89" s="5">
        <f>IFERROR(IF(MAXIFS(Orders!E:E,Orders!B:B,A89)=0,"",MAXIFS(Orders!E:E,Orders!B:B,A89)),"")</f>
        <v/>
      </c>
      <c r="J89" s="5">
        <f>IF(A89="","",COUNTIF(Orders!B:B,A89))</f>
        <v/>
      </c>
      <c r="K89" s="5">
        <f>IF(A89="","",SUMIF(Orders!B:B,A89,Orders!K:K))</f>
        <v/>
      </c>
    </row>
    <row r="90">
      <c r="I90" s="5">
        <f>IFERROR(IF(MAXIFS(Orders!E:E,Orders!B:B,A90)=0,"",MAXIFS(Orders!E:E,Orders!B:B,A90)),"")</f>
        <v/>
      </c>
      <c r="J90" s="5">
        <f>IF(A90="","",COUNTIF(Orders!B:B,A90))</f>
        <v/>
      </c>
      <c r="K90" s="5">
        <f>IF(A90="","",SUMIF(Orders!B:B,A90,Orders!K:K))</f>
        <v/>
      </c>
    </row>
    <row r="91">
      <c r="I91" s="5">
        <f>IFERROR(IF(MAXIFS(Orders!E:E,Orders!B:B,A91)=0,"",MAXIFS(Orders!E:E,Orders!B:B,A91)),"")</f>
        <v/>
      </c>
      <c r="J91" s="5">
        <f>IF(A91="","",COUNTIF(Orders!B:B,A91))</f>
        <v/>
      </c>
      <c r="K91" s="5">
        <f>IF(A91="","",SUMIF(Orders!B:B,A91,Orders!K:K))</f>
        <v/>
      </c>
    </row>
    <row r="92">
      <c r="I92" s="5">
        <f>IFERROR(IF(MAXIFS(Orders!E:E,Orders!B:B,A92)=0,"",MAXIFS(Orders!E:E,Orders!B:B,A92)),"")</f>
        <v/>
      </c>
      <c r="J92" s="5">
        <f>IF(A92="","",COUNTIF(Orders!B:B,A92))</f>
        <v/>
      </c>
      <c r="K92" s="5">
        <f>IF(A92="","",SUMIF(Orders!B:B,A92,Orders!K:K))</f>
        <v/>
      </c>
    </row>
    <row r="93">
      <c r="I93" s="5">
        <f>IFERROR(IF(MAXIFS(Orders!E:E,Orders!B:B,A93)=0,"",MAXIFS(Orders!E:E,Orders!B:B,A93)),"")</f>
        <v/>
      </c>
      <c r="J93" s="5">
        <f>IF(A93="","",COUNTIF(Orders!B:B,A93))</f>
        <v/>
      </c>
      <c r="K93" s="5">
        <f>IF(A93="","",SUMIF(Orders!B:B,A93,Orders!K:K))</f>
        <v/>
      </c>
    </row>
    <row r="94">
      <c r="I94" s="5">
        <f>IFERROR(IF(MAXIFS(Orders!E:E,Orders!B:B,A94)=0,"",MAXIFS(Orders!E:E,Orders!B:B,A94)),"")</f>
        <v/>
      </c>
      <c r="J94" s="5">
        <f>IF(A94="","",COUNTIF(Orders!B:B,A94))</f>
        <v/>
      </c>
      <c r="K94" s="5">
        <f>IF(A94="","",SUMIF(Orders!B:B,A94,Orders!K:K))</f>
        <v/>
      </c>
    </row>
    <row r="95">
      <c r="I95" s="5">
        <f>IFERROR(IF(MAXIFS(Orders!E:E,Orders!B:B,A95)=0,"",MAXIFS(Orders!E:E,Orders!B:B,A95)),"")</f>
        <v/>
      </c>
      <c r="J95" s="5">
        <f>IF(A95="","",COUNTIF(Orders!B:B,A95))</f>
        <v/>
      </c>
      <c r="K95" s="5">
        <f>IF(A95="","",SUMIF(Orders!B:B,A95,Orders!K:K))</f>
        <v/>
      </c>
    </row>
    <row r="96">
      <c r="I96" s="5">
        <f>IFERROR(IF(MAXIFS(Orders!E:E,Orders!B:B,A96)=0,"",MAXIFS(Orders!E:E,Orders!B:B,A96)),"")</f>
        <v/>
      </c>
      <c r="J96" s="5">
        <f>IF(A96="","",COUNTIF(Orders!B:B,A96))</f>
        <v/>
      </c>
      <c r="K96" s="5">
        <f>IF(A96="","",SUMIF(Orders!B:B,A96,Orders!K:K))</f>
        <v/>
      </c>
    </row>
    <row r="97">
      <c r="I97" s="5">
        <f>IFERROR(IF(MAXIFS(Orders!E:E,Orders!B:B,A97)=0,"",MAXIFS(Orders!E:E,Orders!B:B,A97)),"")</f>
        <v/>
      </c>
      <c r="J97" s="5">
        <f>IF(A97="","",COUNTIF(Orders!B:B,A97))</f>
        <v/>
      </c>
      <c r="K97" s="5">
        <f>IF(A97="","",SUMIF(Orders!B:B,A97,Orders!K:K))</f>
        <v/>
      </c>
    </row>
    <row r="98">
      <c r="I98" s="5">
        <f>IFERROR(IF(MAXIFS(Orders!E:E,Orders!B:B,A98)=0,"",MAXIFS(Orders!E:E,Orders!B:B,A98)),"")</f>
        <v/>
      </c>
      <c r="J98" s="5">
        <f>IF(A98="","",COUNTIF(Orders!B:B,A98))</f>
        <v/>
      </c>
      <c r="K98" s="5">
        <f>IF(A98="","",SUMIF(Orders!B:B,A98,Orders!K:K))</f>
        <v/>
      </c>
    </row>
    <row r="99">
      <c r="I99" s="5">
        <f>IFERROR(IF(MAXIFS(Orders!E:E,Orders!B:B,A99)=0,"",MAXIFS(Orders!E:E,Orders!B:B,A99)),"")</f>
        <v/>
      </c>
      <c r="J99" s="5">
        <f>IF(A99="","",COUNTIF(Orders!B:B,A99))</f>
        <v/>
      </c>
      <c r="K99" s="5">
        <f>IF(A99="","",SUMIF(Orders!B:B,A99,Orders!K:K))</f>
        <v/>
      </c>
    </row>
    <row r="100">
      <c r="I100" s="5">
        <f>IFERROR(IF(MAXIFS(Orders!E:E,Orders!B:B,A100)=0,"",MAXIFS(Orders!E:E,Orders!B:B,A100)),"")</f>
        <v/>
      </c>
      <c r="J100" s="5">
        <f>IF(A100="","",COUNTIF(Orders!B:B,A100))</f>
        <v/>
      </c>
      <c r="K100" s="5">
        <f>IF(A100="","",SUMIF(Orders!B:B,A100,Orders!K:K))</f>
        <v/>
      </c>
    </row>
    <row r="101">
      <c r="I101" s="5">
        <f>IFERROR(IF(MAXIFS(Orders!E:E,Orders!B:B,A101)=0,"",MAXIFS(Orders!E:E,Orders!B:B,A101)),"")</f>
        <v/>
      </c>
      <c r="J101" s="5">
        <f>IF(A101="","",COUNTIF(Orders!B:B,A101))</f>
        <v/>
      </c>
      <c r="K101" s="5">
        <f>IF(A101="","",SUMIF(Orders!B:B,A101,Orders!K:K))</f>
        <v/>
      </c>
    </row>
    <row r="102">
      <c r="I102" s="5">
        <f>IFERROR(IF(MAXIFS(Orders!E:E,Orders!B:B,A102)=0,"",MAXIFS(Orders!E:E,Orders!B:B,A102)),"")</f>
        <v/>
      </c>
      <c r="J102" s="5">
        <f>IF(A102="","",COUNTIF(Orders!B:B,A102))</f>
        <v/>
      </c>
      <c r="K102" s="5">
        <f>IF(A102="","",SUMIF(Orders!B:B,A102,Orders!K:K))</f>
        <v/>
      </c>
    </row>
    <row r="103">
      <c r="I103" s="5">
        <f>IFERROR(IF(MAXIFS(Orders!E:E,Orders!B:B,A103)=0,"",MAXIFS(Orders!E:E,Orders!B:B,A103)),"")</f>
        <v/>
      </c>
      <c r="J103" s="5">
        <f>IF(A103="","",COUNTIF(Orders!B:B,A103))</f>
        <v/>
      </c>
      <c r="K103" s="5">
        <f>IF(A103="","",SUMIF(Orders!B:B,A103,Orders!K:K))</f>
        <v/>
      </c>
    </row>
    <row r="104">
      <c r="I104" s="5">
        <f>IFERROR(IF(MAXIFS(Orders!E:E,Orders!B:B,A104)=0,"",MAXIFS(Orders!E:E,Orders!B:B,A104)),"")</f>
        <v/>
      </c>
      <c r="J104" s="5">
        <f>IF(A104="","",COUNTIF(Orders!B:B,A104))</f>
        <v/>
      </c>
      <c r="K104" s="5">
        <f>IF(A104="","",SUMIF(Orders!B:B,A104,Orders!K:K))</f>
        <v/>
      </c>
    </row>
    <row r="105">
      <c r="I105" s="5">
        <f>IFERROR(IF(MAXIFS(Orders!E:E,Orders!B:B,A105)=0,"",MAXIFS(Orders!E:E,Orders!B:B,A105)),"")</f>
        <v/>
      </c>
      <c r="J105" s="5">
        <f>IF(A105="","",COUNTIF(Orders!B:B,A105))</f>
        <v/>
      </c>
      <c r="K105" s="5">
        <f>IF(A105="","",SUMIF(Orders!B:B,A105,Orders!K:K))</f>
        <v/>
      </c>
    </row>
    <row r="106">
      <c r="I106" s="5">
        <f>IFERROR(IF(MAXIFS(Orders!E:E,Orders!B:B,A106)=0,"",MAXIFS(Orders!E:E,Orders!B:B,A106)),"")</f>
        <v/>
      </c>
      <c r="J106" s="5">
        <f>IF(A106="","",COUNTIF(Orders!B:B,A106))</f>
        <v/>
      </c>
      <c r="K106" s="5">
        <f>IF(A106="","",SUMIF(Orders!B:B,A106,Orders!K:K))</f>
        <v/>
      </c>
    </row>
    <row r="107">
      <c r="I107" s="5">
        <f>IFERROR(IF(MAXIFS(Orders!E:E,Orders!B:B,A107)=0,"",MAXIFS(Orders!E:E,Orders!B:B,A107)),"")</f>
        <v/>
      </c>
      <c r="J107" s="5">
        <f>IF(A107="","",COUNTIF(Orders!B:B,A107))</f>
        <v/>
      </c>
      <c r="K107" s="5">
        <f>IF(A107="","",SUMIF(Orders!B:B,A107,Orders!K:K))</f>
        <v/>
      </c>
    </row>
    <row r="108">
      <c r="I108" s="5">
        <f>IFERROR(IF(MAXIFS(Orders!E:E,Orders!B:B,A108)=0,"",MAXIFS(Orders!E:E,Orders!B:B,A108)),"")</f>
        <v/>
      </c>
      <c r="J108" s="5">
        <f>IF(A108="","",COUNTIF(Orders!B:B,A108))</f>
        <v/>
      </c>
      <c r="K108" s="5">
        <f>IF(A108="","",SUMIF(Orders!B:B,A108,Orders!K:K))</f>
        <v/>
      </c>
    </row>
    <row r="109">
      <c r="I109" s="5">
        <f>IFERROR(IF(MAXIFS(Orders!E:E,Orders!B:B,A109)=0,"",MAXIFS(Orders!E:E,Orders!B:B,A109)),"")</f>
        <v/>
      </c>
      <c r="J109" s="5">
        <f>IF(A109="","",COUNTIF(Orders!B:B,A109))</f>
        <v/>
      </c>
      <c r="K109" s="5">
        <f>IF(A109="","",SUMIF(Orders!B:B,A109,Orders!K:K))</f>
        <v/>
      </c>
    </row>
    <row r="110">
      <c r="I110" s="5">
        <f>IFERROR(IF(MAXIFS(Orders!E:E,Orders!B:B,A110)=0,"",MAXIFS(Orders!E:E,Orders!B:B,A110)),"")</f>
        <v/>
      </c>
      <c r="J110" s="5">
        <f>IF(A110="","",COUNTIF(Orders!B:B,A110))</f>
        <v/>
      </c>
      <c r="K110" s="5">
        <f>IF(A110="","",SUMIF(Orders!B:B,A110,Orders!K:K))</f>
        <v/>
      </c>
    </row>
    <row r="111">
      <c r="I111" s="5">
        <f>IFERROR(IF(MAXIFS(Orders!E:E,Orders!B:B,A111)=0,"",MAXIFS(Orders!E:E,Orders!B:B,A111)),"")</f>
        <v/>
      </c>
      <c r="J111" s="5">
        <f>IF(A111="","",COUNTIF(Orders!B:B,A111))</f>
        <v/>
      </c>
      <c r="K111" s="5">
        <f>IF(A111="","",SUMIF(Orders!B:B,A111,Orders!K:K))</f>
        <v/>
      </c>
    </row>
    <row r="112">
      <c r="I112" s="5">
        <f>IFERROR(IF(MAXIFS(Orders!E:E,Orders!B:B,A112)=0,"",MAXIFS(Orders!E:E,Orders!B:B,A112)),"")</f>
        <v/>
      </c>
      <c r="J112" s="5">
        <f>IF(A112="","",COUNTIF(Orders!B:B,A112))</f>
        <v/>
      </c>
      <c r="K112" s="5">
        <f>IF(A112="","",SUMIF(Orders!B:B,A112,Orders!K:K))</f>
        <v/>
      </c>
    </row>
    <row r="113">
      <c r="I113" s="5">
        <f>IFERROR(IF(MAXIFS(Orders!E:E,Orders!B:B,A113)=0,"",MAXIFS(Orders!E:E,Orders!B:B,A113)),"")</f>
        <v/>
      </c>
      <c r="J113" s="5">
        <f>IF(A113="","",COUNTIF(Orders!B:B,A113))</f>
        <v/>
      </c>
      <c r="K113" s="5">
        <f>IF(A113="","",SUMIF(Orders!B:B,A113,Orders!K:K))</f>
        <v/>
      </c>
    </row>
    <row r="114">
      <c r="I114" s="5">
        <f>IFERROR(IF(MAXIFS(Orders!E:E,Orders!B:B,A114)=0,"",MAXIFS(Orders!E:E,Orders!B:B,A114)),"")</f>
        <v/>
      </c>
      <c r="J114" s="5">
        <f>IF(A114="","",COUNTIF(Orders!B:B,A114))</f>
        <v/>
      </c>
      <c r="K114" s="5">
        <f>IF(A114="","",SUMIF(Orders!B:B,A114,Orders!K:K))</f>
        <v/>
      </c>
    </row>
    <row r="115">
      <c r="I115" s="5">
        <f>IFERROR(IF(MAXIFS(Orders!E:E,Orders!B:B,A115)=0,"",MAXIFS(Orders!E:E,Orders!B:B,A115)),"")</f>
        <v/>
      </c>
      <c r="J115" s="5">
        <f>IF(A115="","",COUNTIF(Orders!B:B,A115))</f>
        <v/>
      </c>
      <c r="K115" s="5">
        <f>IF(A115="","",SUMIF(Orders!B:B,A115,Orders!K:K))</f>
        <v/>
      </c>
    </row>
    <row r="116">
      <c r="I116" s="5">
        <f>IFERROR(IF(MAXIFS(Orders!E:E,Orders!B:B,A116)=0,"",MAXIFS(Orders!E:E,Orders!B:B,A116)),"")</f>
        <v/>
      </c>
      <c r="J116" s="5">
        <f>IF(A116="","",COUNTIF(Orders!B:B,A116))</f>
        <v/>
      </c>
      <c r="K116" s="5">
        <f>IF(A116="","",SUMIF(Orders!B:B,A116,Orders!K:K))</f>
        <v/>
      </c>
    </row>
    <row r="117">
      <c r="I117" s="5">
        <f>IFERROR(IF(MAXIFS(Orders!E:E,Orders!B:B,A117)=0,"",MAXIFS(Orders!E:E,Orders!B:B,A117)),"")</f>
        <v/>
      </c>
      <c r="J117" s="5">
        <f>IF(A117="","",COUNTIF(Orders!B:B,A117))</f>
        <v/>
      </c>
      <c r="K117" s="5">
        <f>IF(A117="","",SUMIF(Orders!B:B,A117,Orders!K:K))</f>
        <v/>
      </c>
    </row>
    <row r="118">
      <c r="I118" s="5">
        <f>IFERROR(IF(MAXIFS(Orders!E:E,Orders!B:B,A118)=0,"",MAXIFS(Orders!E:E,Orders!B:B,A118)),"")</f>
        <v/>
      </c>
      <c r="J118" s="5">
        <f>IF(A118="","",COUNTIF(Orders!B:B,A118))</f>
        <v/>
      </c>
      <c r="K118" s="5">
        <f>IF(A118="","",SUMIF(Orders!B:B,A118,Orders!K:K))</f>
        <v/>
      </c>
    </row>
    <row r="119">
      <c r="I119" s="5">
        <f>IFERROR(IF(MAXIFS(Orders!E:E,Orders!B:B,A119)=0,"",MAXIFS(Orders!E:E,Orders!B:B,A119)),"")</f>
        <v/>
      </c>
      <c r="J119" s="5">
        <f>IF(A119="","",COUNTIF(Orders!B:B,A119))</f>
        <v/>
      </c>
      <c r="K119" s="5">
        <f>IF(A119="","",SUMIF(Orders!B:B,A119,Orders!K:K))</f>
        <v/>
      </c>
    </row>
    <row r="120">
      <c r="I120" s="5">
        <f>IFERROR(IF(MAXIFS(Orders!E:E,Orders!B:B,A120)=0,"",MAXIFS(Orders!E:E,Orders!B:B,A120)),"")</f>
        <v/>
      </c>
      <c r="J120" s="5">
        <f>IF(A120="","",COUNTIF(Orders!B:B,A120))</f>
        <v/>
      </c>
      <c r="K120" s="5">
        <f>IF(A120="","",SUMIF(Orders!B:B,A120,Orders!K:K))</f>
        <v/>
      </c>
    </row>
    <row r="121">
      <c r="I121" s="5">
        <f>IFERROR(IF(MAXIFS(Orders!E:E,Orders!B:B,A121)=0,"",MAXIFS(Orders!E:E,Orders!B:B,A121)),"")</f>
        <v/>
      </c>
      <c r="J121" s="5">
        <f>IF(A121="","",COUNTIF(Orders!B:B,A121))</f>
        <v/>
      </c>
      <c r="K121" s="5">
        <f>IF(A121="","",SUMIF(Orders!B:B,A121,Orders!K:K))</f>
        <v/>
      </c>
    </row>
    <row r="122">
      <c r="I122" s="5">
        <f>IFERROR(IF(MAXIFS(Orders!E:E,Orders!B:B,A122)=0,"",MAXIFS(Orders!E:E,Orders!B:B,A122)),"")</f>
        <v/>
      </c>
      <c r="J122" s="5">
        <f>IF(A122="","",COUNTIF(Orders!B:B,A122))</f>
        <v/>
      </c>
      <c r="K122" s="5">
        <f>IF(A122="","",SUMIF(Orders!B:B,A122,Orders!K:K))</f>
        <v/>
      </c>
    </row>
    <row r="123">
      <c r="I123" s="5">
        <f>IFERROR(IF(MAXIFS(Orders!E:E,Orders!B:B,A123)=0,"",MAXIFS(Orders!E:E,Orders!B:B,A123)),"")</f>
        <v/>
      </c>
      <c r="J123" s="5">
        <f>IF(A123="","",COUNTIF(Orders!B:B,A123))</f>
        <v/>
      </c>
      <c r="K123" s="5">
        <f>IF(A123="","",SUMIF(Orders!B:B,A123,Orders!K:K))</f>
        <v/>
      </c>
    </row>
    <row r="124">
      <c r="I124" s="5">
        <f>IFERROR(IF(MAXIFS(Orders!E:E,Orders!B:B,A124)=0,"",MAXIFS(Orders!E:E,Orders!B:B,A124)),"")</f>
        <v/>
      </c>
      <c r="J124" s="5">
        <f>IF(A124="","",COUNTIF(Orders!B:B,A124))</f>
        <v/>
      </c>
      <c r="K124" s="5">
        <f>IF(A124="","",SUMIF(Orders!B:B,A124,Orders!K:K))</f>
        <v/>
      </c>
    </row>
    <row r="125">
      <c r="I125" s="5">
        <f>IFERROR(IF(MAXIFS(Orders!E:E,Orders!B:B,A125)=0,"",MAXIFS(Orders!E:E,Orders!B:B,A125)),"")</f>
        <v/>
      </c>
      <c r="J125" s="5">
        <f>IF(A125="","",COUNTIF(Orders!B:B,A125))</f>
        <v/>
      </c>
      <c r="K125" s="5">
        <f>IF(A125="","",SUMIF(Orders!B:B,A125,Orders!K:K))</f>
        <v/>
      </c>
    </row>
    <row r="126">
      <c r="I126" s="5">
        <f>IFERROR(IF(MAXIFS(Orders!E:E,Orders!B:B,A126)=0,"",MAXIFS(Orders!E:E,Orders!B:B,A126)),"")</f>
        <v/>
      </c>
      <c r="J126" s="5">
        <f>IF(A126="","",COUNTIF(Orders!B:B,A126))</f>
        <v/>
      </c>
      <c r="K126" s="5">
        <f>IF(A126="","",SUMIF(Orders!B:B,A126,Orders!K:K))</f>
        <v/>
      </c>
    </row>
    <row r="127">
      <c r="I127" s="5">
        <f>IFERROR(IF(MAXIFS(Orders!E:E,Orders!B:B,A127)=0,"",MAXIFS(Orders!E:E,Orders!B:B,A127)),"")</f>
        <v/>
      </c>
      <c r="J127" s="5">
        <f>IF(A127="","",COUNTIF(Orders!B:B,A127))</f>
        <v/>
      </c>
      <c r="K127" s="5">
        <f>IF(A127="","",SUMIF(Orders!B:B,A127,Orders!K:K))</f>
        <v/>
      </c>
    </row>
    <row r="128">
      <c r="I128" s="5">
        <f>IFERROR(IF(MAXIFS(Orders!E:E,Orders!B:B,A128)=0,"",MAXIFS(Orders!E:E,Orders!B:B,A128)),"")</f>
        <v/>
      </c>
      <c r="J128" s="5">
        <f>IF(A128="","",COUNTIF(Orders!B:B,A128))</f>
        <v/>
      </c>
      <c r="K128" s="5">
        <f>IF(A128="","",SUMIF(Orders!B:B,A128,Orders!K:K))</f>
        <v/>
      </c>
    </row>
    <row r="129">
      <c r="I129" s="5">
        <f>IFERROR(IF(MAXIFS(Orders!E:E,Orders!B:B,A129)=0,"",MAXIFS(Orders!E:E,Orders!B:B,A129)),"")</f>
        <v/>
      </c>
      <c r="J129" s="5">
        <f>IF(A129="","",COUNTIF(Orders!B:B,A129))</f>
        <v/>
      </c>
      <c r="K129" s="5">
        <f>IF(A129="","",SUMIF(Orders!B:B,A129,Orders!K:K))</f>
        <v/>
      </c>
    </row>
    <row r="130">
      <c r="I130" s="5">
        <f>IFERROR(IF(MAXIFS(Orders!E:E,Orders!B:B,A130)=0,"",MAXIFS(Orders!E:E,Orders!B:B,A130)),"")</f>
        <v/>
      </c>
      <c r="J130" s="5">
        <f>IF(A130="","",COUNTIF(Orders!B:B,A130))</f>
        <v/>
      </c>
      <c r="K130" s="5">
        <f>IF(A130="","",SUMIF(Orders!B:B,A130,Orders!K:K))</f>
        <v/>
      </c>
    </row>
    <row r="131">
      <c r="I131" s="5">
        <f>IFERROR(IF(MAXIFS(Orders!E:E,Orders!B:B,A131)=0,"",MAXIFS(Orders!E:E,Orders!B:B,A131)),"")</f>
        <v/>
      </c>
      <c r="J131" s="5">
        <f>IF(A131="","",COUNTIF(Orders!B:B,A131))</f>
        <v/>
      </c>
      <c r="K131" s="5">
        <f>IF(A131="","",SUMIF(Orders!B:B,A131,Orders!K:K))</f>
        <v/>
      </c>
    </row>
    <row r="132">
      <c r="I132" s="5">
        <f>IFERROR(IF(MAXIFS(Orders!E:E,Orders!B:B,A132)=0,"",MAXIFS(Orders!E:E,Orders!B:B,A132)),"")</f>
        <v/>
      </c>
      <c r="J132" s="5">
        <f>IF(A132="","",COUNTIF(Orders!B:B,A132))</f>
        <v/>
      </c>
      <c r="K132" s="5">
        <f>IF(A132="","",SUMIF(Orders!B:B,A132,Orders!K:K))</f>
        <v/>
      </c>
    </row>
    <row r="133">
      <c r="I133" s="5">
        <f>IFERROR(IF(MAXIFS(Orders!E:E,Orders!B:B,A133)=0,"",MAXIFS(Orders!E:E,Orders!B:B,A133)),"")</f>
        <v/>
      </c>
      <c r="J133" s="5">
        <f>IF(A133="","",COUNTIF(Orders!B:B,A133))</f>
        <v/>
      </c>
      <c r="K133" s="5">
        <f>IF(A133="","",SUMIF(Orders!B:B,A133,Orders!K:K))</f>
        <v/>
      </c>
    </row>
    <row r="134">
      <c r="I134" s="5">
        <f>IFERROR(IF(MAXIFS(Orders!E:E,Orders!B:B,A134)=0,"",MAXIFS(Orders!E:E,Orders!B:B,A134)),"")</f>
        <v/>
      </c>
      <c r="J134" s="5">
        <f>IF(A134="","",COUNTIF(Orders!B:B,A134))</f>
        <v/>
      </c>
      <c r="K134" s="5">
        <f>IF(A134="","",SUMIF(Orders!B:B,A134,Orders!K:K))</f>
        <v/>
      </c>
    </row>
    <row r="135">
      <c r="I135" s="5">
        <f>IFERROR(IF(MAXIFS(Orders!E:E,Orders!B:B,A135)=0,"",MAXIFS(Orders!E:E,Orders!B:B,A135)),"")</f>
        <v/>
      </c>
      <c r="J135" s="5">
        <f>IF(A135="","",COUNTIF(Orders!B:B,A135))</f>
        <v/>
      </c>
      <c r="K135" s="5">
        <f>IF(A135="","",SUMIF(Orders!B:B,A135,Orders!K:K))</f>
        <v/>
      </c>
    </row>
    <row r="136">
      <c r="I136" s="5">
        <f>IFERROR(IF(MAXIFS(Orders!E:E,Orders!B:B,A136)=0,"",MAXIFS(Orders!E:E,Orders!B:B,A136)),"")</f>
        <v/>
      </c>
      <c r="J136" s="5">
        <f>IF(A136="","",COUNTIF(Orders!B:B,A136))</f>
        <v/>
      </c>
      <c r="K136" s="5">
        <f>IF(A136="","",SUMIF(Orders!B:B,A136,Orders!K:K))</f>
        <v/>
      </c>
    </row>
    <row r="137">
      <c r="I137" s="5">
        <f>IFERROR(IF(MAXIFS(Orders!E:E,Orders!B:B,A137)=0,"",MAXIFS(Orders!E:E,Orders!B:B,A137)),"")</f>
        <v/>
      </c>
      <c r="J137" s="5">
        <f>IF(A137="","",COUNTIF(Orders!B:B,A137))</f>
        <v/>
      </c>
      <c r="K137" s="5">
        <f>IF(A137="","",SUMIF(Orders!B:B,A137,Orders!K:K))</f>
        <v/>
      </c>
    </row>
    <row r="138">
      <c r="I138" s="5">
        <f>IFERROR(IF(MAXIFS(Orders!E:E,Orders!B:B,A138)=0,"",MAXIFS(Orders!E:E,Orders!B:B,A138)),"")</f>
        <v/>
      </c>
      <c r="J138" s="5">
        <f>IF(A138="","",COUNTIF(Orders!B:B,A138))</f>
        <v/>
      </c>
      <c r="K138" s="5">
        <f>IF(A138="","",SUMIF(Orders!B:B,A138,Orders!K:K))</f>
        <v/>
      </c>
    </row>
    <row r="139">
      <c r="I139" s="5">
        <f>IFERROR(IF(MAXIFS(Orders!E:E,Orders!B:B,A139)=0,"",MAXIFS(Orders!E:E,Orders!B:B,A139)),"")</f>
        <v/>
      </c>
      <c r="J139" s="5">
        <f>IF(A139="","",COUNTIF(Orders!B:B,A139))</f>
        <v/>
      </c>
      <c r="K139" s="5">
        <f>IF(A139="","",SUMIF(Orders!B:B,A139,Orders!K:K))</f>
        <v/>
      </c>
    </row>
    <row r="140">
      <c r="I140" s="5">
        <f>IFERROR(IF(MAXIFS(Orders!E:E,Orders!B:B,A140)=0,"",MAXIFS(Orders!E:E,Orders!B:B,A140)),"")</f>
        <v/>
      </c>
      <c r="J140" s="5">
        <f>IF(A140="","",COUNTIF(Orders!B:B,A140))</f>
        <v/>
      </c>
      <c r="K140" s="5">
        <f>IF(A140="","",SUMIF(Orders!B:B,A140,Orders!K:K))</f>
        <v/>
      </c>
    </row>
    <row r="141">
      <c r="I141" s="5">
        <f>IFERROR(IF(MAXIFS(Orders!E:E,Orders!B:B,A141)=0,"",MAXIFS(Orders!E:E,Orders!B:B,A141)),"")</f>
        <v/>
      </c>
      <c r="J141" s="5">
        <f>IF(A141="","",COUNTIF(Orders!B:B,A141))</f>
        <v/>
      </c>
      <c r="K141" s="5">
        <f>IF(A141="","",SUMIF(Orders!B:B,A141,Orders!K:K))</f>
        <v/>
      </c>
    </row>
    <row r="142">
      <c r="I142" s="5">
        <f>IFERROR(IF(MAXIFS(Orders!E:E,Orders!B:B,A142)=0,"",MAXIFS(Orders!E:E,Orders!B:B,A142)),"")</f>
        <v/>
      </c>
      <c r="J142" s="5">
        <f>IF(A142="","",COUNTIF(Orders!B:B,A142))</f>
        <v/>
      </c>
      <c r="K142" s="5">
        <f>IF(A142="","",SUMIF(Orders!B:B,A142,Orders!K:K))</f>
        <v/>
      </c>
    </row>
    <row r="143">
      <c r="I143" s="5">
        <f>IFERROR(IF(MAXIFS(Orders!E:E,Orders!B:B,A143)=0,"",MAXIFS(Orders!E:E,Orders!B:B,A143)),"")</f>
        <v/>
      </c>
      <c r="J143" s="5">
        <f>IF(A143="","",COUNTIF(Orders!B:B,A143))</f>
        <v/>
      </c>
      <c r="K143" s="5">
        <f>IF(A143="","",SUMIF(Orders!B:B,A143,Orders!K:K))</f>
        <v/>
      </c>
    </row>
    <row r="144">
      <c r="I144" s="5">
        <f>IFERROR(IF(MAXIFS(Orders!E:E,Orders!B:B,A144)=0,"",MAXIFS(Orders!E:E,Orders!B:B,A144)),"")</f>
        <v/>
      </c>
      <c r="J144" s="5">
        <f>IF(A144="","",COUNTIF(Orders!B:B,A144))</f>
        <v/>
      </c>
      <c r="K144" s="5">
        <f>IF(A144="","",SUMIF(Orders!B:B,A144,Orders!K:K))</f>
        <v/>
      </c>
    </row>
    <row r="145">
      <c r="I145" s="5">
        <f>IFERROR(IF(MAXIFS(Orders!E:E,Orders!B:B,A145)=0,"",MAXIFS(Orders!E:E,Orders!B:B,A145)),"")</f>
        <v/>
      </c>
      <c r="J145" s="5">
        <f>IF(A145="","",COUNTIF(Orders!B:B,A145))</f>
        <v/>
      </c>
      <c r="K145" s="5">
        <f>IF(A145="","",SUMIF(Orders!B:B,A145,Orders!K:K))</f>
        <v/>
      </c>
    </row>
    <row r="146">
      <c r="I146" s="5">
        <f>IFERROR(IF(MAXIFS(Orders!E:E,Orders!B:B,A146)=0,"",MAXIFS(Orders!E:E,Orders!B:B,A146)),"")</f>
        <v/>
      </c>
      <c r="J146" s="5">
        <f>IF(A146="","",COUNTIF(Orders!B:B,A146))</f>
        <v/>
      </c>
      <c r="K146" s="5">
        <f>IF(A146="","",SUMIF(Orders!B:B,A146,Orders!K:K))</f>
        <v/>
      </c>
    </row>
    <row r="147">
      <c r="I147" s="5">
        <f>IFERROR(IF(MAXIFS(Orders!E:E,Orders!B:B,A147)=0,"",MAXIFS(Orders!E:E,Orders!B:B,A147)),"")</f>
        <v/>
      </c>
      <c r="J147" s="5">
        <f>IF(A147="","",COUNTIF(Orders!B:B,A147))</f>
        <v/>
      </c>
      <c r="K147" s="5">
        <f>IF(A147="","",SUMIF(Orders!B:B,A147,Orders!K:K))</f>
        <v/>
      </c>
    </row>
    <row r="148">
      <c r="I148" s="5">
        <f>IFERROR(IF(MAXIFS(Orders!E:E,Orders!B:B,A148)=0,"",MAXIFS(Orders!E:E,Orders!B:B,A148)),"")</f>
        <v/>
      </c>
      <c r="J148" s="5">
        <f>IF(A148="","",COUNTIF(Orders!B:B,A148))</f>
        <v/>
      </c>
      <c r="K148" s="5">
        <f>IF(A148="","",SUMIF(Orders!B:B,A148,Orders!K:K))</f>
        <v/>
      </c>
    </row>
    <row r="149">
      <c r="I149" s="5">
        <f>IFERROR(IF(MAXIFS(Orders!E:E,Orders!B:B,A149)=0,"",MAXIFS(Orders!E:E,Orders!B:B,A149)),"")</f>
        <v/>
      </c>
      <c r="J149" s="5">
        <f>IF(A149="","",COUNTIF(Orders!B:B,A149))</f>
        <v/>
      </c>
      <c r="K149" s="5">
        <f>IF(A149="","",SUMIF(Orders!B:B,A149,Orders!K:K))</f>
        <v/>
      </c>
    </row>
    <row r="150">
      <c r="I150" s="5">
        <f>IFERROR(IF(MAXIFS(Orders!E:E,Orders!B:B,A150)=0,"",MAXIFS(Orders!E:E,Orders!B:B,A150)),"")</f>
        <v/>
      </c>
      <c r="J150" s="5">
        <f>IF(A150="","",COUNTIF(Orders!B:B,A150))</f>
        <v/>
      </c>
      <c r="K150" s="5">
        <f>IF(A150="","",SUMIF(Orders!B:B,A150,Orders!K:K))</f>
        <v/>
      </c>
    </row>
    <row r="151">
      <c r="I151" s="5">
        <f>IFERROR(IF(MAXIFS(Orders!E:E,Orders!B:B,A151)=0,"",MAXIFS(Orders!E:E,Orders!B:B,A151)),"")</f>
        <v/>
      </c>
      <c r="J151" s="5">
        <f>IF(A151="","",COUNTIF(Orders!B:B,A151))</f>
        <v/>
      </c>
      <c r="K151" s="5">
        <f>IF(A151="","",SUMIF(Orders!B:B,A151,Orders!K:K))</f>
        <v/>
      </c>
    </row>
    <row r="152">
      <c r="I152" s="5">
        <f>IFERROR(IF(MAXIFS(Orders!E:E,Orders!B:B,A152)=0,"",MAXIFS(Orders!E:E,Orders!B:B,A152)),"")</f>
        <v/>
      </c>
      <c r="J152" s="5">
        <f>IF(A152="","",COUNTIF(Orders!B:B,A152))</f>
        <v/>
      </c>
      <c r="K152" s="5">
        <f>IF(A152="","",SUMIF(Orders!B:B,A152,Orders!K:K))</f>
        <v/>
      </c>
    </row>
    <row r="153">
      <c r="I153" s="5">
        <f>IFERROR(IF(MAXIFS(Orders!E:E,Orders!B:B,A153)=0,"",MAXIFS(Orders!E:E,Orders!B:B,A153)),"")</f>
        <v/>
      </c>
      <c r="J153" s="5">
        <f>IF(A153="","",COUNTIF(Orders!B:B,A153))</f>
        <v/>
      </c>
      <c r="K153" s="5">
        <f>IF(A153="","",SUMIF(Orders!B:B,A153,Orders!K:K))</f>
        <v/>
      </c>
    </row>
    <row r="154">
      <c r="I154" s="5">
        <f>IFERROR(IF(MAXIFS(Orders!E:E,Orders!B:B,A154)=0,"",MAXIFS(Orders!E:E,Orders!B:B,A154)),"")</f>
        <v/>
      </c>
      <c r="J154" s="5">
        <f>IF(A154="","",COUNTIF(Orders!B:B,A154))</f>
        <v/>
      </c>
      <c r="K154" s="5">
        <f>IF(A154="","",SUMIF(Orders!B:B,A154,Orders!K:K))</f>
        <v/>
      </c>
    </row>
    <row r="155">
      <c r="I155" s="5">
        <f>IFERROR(IF(MAXIFS(Orders!E:E,Orders!B:B,A155)=0,"",MAXIFS(Orders!E:E,Orders!B:B,A155)),"")</f>
        <v/>
      </c>
      <c r="J155" s="5">
        <f>IF(A155="","",COUNTIF(Orders!B:B,A155))</f>
        <v/>
      </c>
      <c r="K155" s="5">
        <f>IF(A155="","",SUMIF(Orders!B:B,A155,Orders!K:K))</f>
        <v/>
      </c>
    </row>
    <row r="156">
      <c r="I156" s="5">
        <f>IFERROR(IF(MAXIFS(Orders!E:E,Orders!B:B,A156)=0,"",MAXIFS(Orders!E:E,Orders!B:B,A156)),"")</f>
        <v/>
      </c>
      <c r="J156" s="5">
        <f>IF(A156="","",COUNTIF(Orders!B:B,A156))</f>
        <v/>
      </c>
      <c r="K156" s="5">
        <f>IF(A156="","",SUMIF(Orders!B:B,A156,Orders!K:K))</f>
        <v/>
      </c>
    </row>
    <row r="157">
      <c r="I157" s="5">
        <f>IFERROR(IF(MAXIFS(Orders!E:E,Orders!B:B,A157)=0,"",MAXIFS(Orders!E:E,Orders!B:B,A157)),"")</f>
        <v/>
      </c>
      <c r="J157" s="5">
        <f>IF(A157="","",COUNTIF(Orders!B:B,A157))</f>
        <v/>
      </c>
      <c r="K157" s="5">
        <f>IF(A157="","",SUMIF(Orders!B:B,A157,Orders!K:K))</f>
        <v/>
      </c>
    </row>
    <row r="158">
      <c r="I158" s="5">
        <f>IFERROR(IF(MAXIFS(Orders!E:E,Orders!B:B,A158)=0,"",MAXIFS(Orders!E:E,Orders!B:B,A158)),"")</f>
        <v/>
      </c>
      <c r="J158" s="5">
        <f>IF(A158="","",COUNTIF(Orders!B:B,A158))</f>
        <v/>
      </c>
      <c r="K158" s="5">
        <f>IF(A158="","",SUMIF(Orders!B:B,A158,Orders!K:K))</f>
        <v/>
      </c>
    </row>
    <row r="159">
      <c r="I159" s="5">
        <f>IFERROR(IF(MAXIFS(Orders!E:E,Orders!B:B,A159)=0,"",MAXIFS(Orders!E:E,Orders!B:B,A159)),"")</f>
        <v/>
      </c>
      <c r="J159" s="5">
        <f>IF(A159="","",COUNTIF(Orders!B:B,A159))</f>
        <v/>
      </c>
      <c r="K159" s="5">
        <f>IF(A159="","",SUMIF(Orders!B:B,A159,Orders!K:K))</f>
        <v/>
      </c>
    </row>
    <row r="160">
      <c r="I160" s="5">
        <f>IFERROR(IF(MAXIFS(Orders!E:E,Orders!B:B,A160)=0,"",MAXIFS(Orders!E:E,Orders!B:B,A160)),"")</f>
        <v/>
      </c>
      <c r="J160" s="5">
        <f>IF(A160="","",COUNTIF(Orders!B:B,A160))</f>
        <v/>
      </c>
      <c r="K160" s="5">
        <f>IF(A160="","",SUMIF(Orders!B:B,A160,Orders!K:K))</f>
        <v/>
      </c>
    </row>
    <row r="161">
      <c r="I161" s="5">
        <f>IFERROR(IF(MAXIFS(Orders!E:E,Orders!B:B,A161)=0,"",MAXIFS(Orders!E:E,Orders!B:B,A161)),"")</f>
        <v/>
      </c>
      <c r="J161" s="5">
        <f>IF(A161="","",COUNTIF(Orders!B:B,A161))</f>
        <v/>
      </c>
      <c r="K161" s="5">
        <f>IF(A161="","",SUMIF(Orders!B:B,A161,Orders!K:K))</f>
        <v/>
      </c>
    </row>
    <row r="162">
      <c r="I162" s="5">
        <f>IFERROR(IF(MAXIFS(Orders!E:E,Orders!B:B,A162)=0,"",MAXIFS(Orders!E:E,Orders!B:B,A162)),"")</f>
        <v/>
      </c>
      <c r="J162" s="5">
        <f>IF(A162="","",COUNTIF(Orders!B:B,A162))</f>
        <v/>
      </c>
      <c r="K162" s="5">
        <f>IF(A162="","",SUMIF(Orders!B:B,A162,Orders!K:K))</f>
        <v/>
      </c>
    </row>
    <row r="163">
      <c r="I163" s="5">
        <f>IFERROR(IF(MAXIFS(Orders!E:E,Orders!B:B,A163)=0,"",MAXIFS(Orders!E:E,Orders!B:B,A163)),"")</f>
        <v/>
      </c>
      <c r="J163" s="5">
        <f>IF(A163="","",COUNTIF(Orders!B:B,A163))</f>
        <v/>
      </c>
      <c r="K163" s="5">
        <f>IF(A163="","",SUMIF(Orders!B:B,A163,Orders!K:K))</f>
        <v/>
      </c>
    </row>
    <row r="164">
      <c r="I164" s="5">
        <f>IFERROR(IF(MAXIFS(Orders!E:E,Orders!B:B,A164)=0,"",MAXIFS(Orders!E:E,Orders!B:B,A164)),"")</f>
        <v/>
      </c>
      <c r="J164" s="5">
        <f>IF(A164="","",COUNTIF(Orders!B:B,A164))</f>
        <v/>
      </c>
      <c r="K164" s="5">
        <f>IF(A164="","",SUMIF(Orders!B:B,A164,Orders!K:K))</f>
        <v/>
      </c>
    </row>
    <row r="165">
      <c r="I165" s="5">
        <f>IFERROR(IF(MAXIFS(Orders!E:E,Orders!B:B,A165)=0,"",MAXIFS(Orders!E:E,Orders!B:B,A165)),"")</f>
        <v/>
      </c>
      <c r="J165" s="5">
        <f>IF(A165="","",COUNTIF(Orders!B:B,A165))</f>
        <v/>
      </c>
      <c r="K165" s="5">
        <f>IF(A165="","",SUMIF(Orders!B:B,A165,Orders!K:K))</f>
        <v/>
      </c>
    </row>
    <row r="166">
      <c r="I166" s="5">
        <f>IFERROR(IF(MAXIFS(Orders!E:E,Orders!B:B,A166)=0,"",MAXIFS(Orders!E:E,Orders!B:B,A166)),"")</f>
        <v/>
      </c>
      <c r="J166" s="5">
        <f>IF(A166="","",COUNTIF(Orders!B:B,A166))</f>
        <v/>
      </c>
      <c r="K166" s="5">
        <f>IF(A166="","",SUMIF(Orders!B:B,A166,Orders!K:K))</f>
        <v/>
      </c>
    </row>
    <row r="167">
      <c r="I167" s="5">
        <f>IFERROR(IF(MAXIFS(Orders!E:E,Orders!B:B,A167)=0,"",MAXIFS(Orders!E:E,Orders!B:B,A167)),"")</f>
        <v/>
      </c>
      <c r="J167" s="5">
        <f>IF(A167="","",COUNTIF(Orders!B:B,A167))</f>
        <v/>
      </c>
      <c r="K167" s="5">
        <f>IF(A167="","",SUMIF(Orders!B:B,A167,Orders!K:K))</f>
        <v/>
      </c>
    </row>
    <row r="168">
      <c r="I168" s="5">
        <f>IFERROR(IF(MAXIFS(Orders!E:E,Orders!B:B,A168)=0,"",MAXIFS(Orders!E:E,Orders!B:B,A168)),"")</f>
        <v/>
      </c>
      <c r="J168" s="5">
        <f>IF(A168="","",COUNTIF(Orders!B:B,A168))</f>
        <v/>
      </c>
      <c r="K168" s="5">
        <f>IF(A168="","",SUMIF(Orders!B:B,A168,Orders!K:K))</f>
        <v/>
      </c>
    </row>
    <row r="169">
      <c r="I169" s="5">
        <f>IFERROR(IF(MAXIFS(Orders!E:E,Orders!B:B,A169)=0,"",MAXIFS(Orders!E:E,Orders!B:B,A169)),"")</f>
        <v/>
      </c>
      <c r="J169" s="5">
        <f>IF(A169="","",COUNTIF(Orders!B:B,A169))</f>
        <v/>
      </c>
      <c r="K169" s="5">
        <f>IF(A169="","",SUMIF(Orders!B:B,A169,Orders!K:K))</f>
        <v/>
      </c>
    </row>
    <row r="170">
      <c r="I170" s="5">
        <f>IFERROR(IF(MAXIFS(Orders!E:E,Orders!B:B,A170)=0,"",MAXIFS(Orders!E:E,Orders!B:B,A170)),"")</f>
        <v/>
      </c>
      <c r="J170" s="5">
        <f>IF(A170="","",COUNTIF(Orders!B:B,A170))</f>
        <v/>
      </c>
      <c r="K170" s="5">
        <f>IF(A170="","",SUMIF(Orders!B:B,A170,Orders!K:K))</f>
        <v/>
      </c>
    </row>
    <row r="171">
      <c r="I171" s="5">
        <f>IFERROR(IF(MAXIFS(Orders!E:E,Orders!B:B,A171)=0,"",MAXIFS(Orders!E:E,Orders!B:B,A171)),"")</f>
        <v/>
      </c>
      <c r="J171" s="5">
        <f>IF(A171="","",COUNTIF(Orders!B:B,A171))</f>
        <v/>
      </c>
      <c r="K171" s="5">
        <f>IF(A171="","",SUMIF(Orders!B:B,A171,Orders!K:K))</f>
        <v/>
      </c>
    </row>
    <row r="172">
      <c r="I172" s="5">
        <f>IFERROR(IF(MAXIFS(Orders!E:E,Orders!B:B,A172)=0,"",MAXIFS(Orders!E:E,Orders!B:B,A172)),"")</f>
        <v/>
      </c>
      <c r="J172" s="5">
        <f>IF(A172="","",COUNTIF(Orders!B:B,A172))</f>
        <v/>
      </c>
      <c r="K172" s="5">
        <f>IF(A172="","",SUMIF(Orders!B:B,A172,Orders!K:K))</f>
        <v/>
      </c>
    </row>
    <row r="173">
      <c r="I173" s="5">
        <f>IFERROR(IF(MAXIFS(Orders!E:E,Orders!B:B,A173)=0,"",MAXIFS(Orders!E:E,Orders!B:B,A173)),"")</f>
        <v/>
      </c>
      <c r="J173" s="5">
        <f>IF(A173="","",COUNTIF(Orders!B:B,A173))</f>
        <v/>
      </c>
      <c r="K173" s="5">
        <f>IF(A173="","",SUMIF(Orders!B:B,A173,Orders!K:K))</f>
        <v/>
      </c>
    </row>
    <row r="174">
      <c r="I174" s="5">
        <f>IFERROR(IF(MAXIFS(Orders!E:E,Orders!B:B,A174)=0,"",MAXIFS(Orders!E:E,Orders!B:B,A174)),"")</f>
        <v/>
      </c>
      <c r="J174" s="5">
        <f>IF(A174="","",COUNTIF(Orders!B:B,A174))</f>
        <v/>
      </c>
      <c r="K174" s="5">
        <f>IF(A174="","",SUMIF(Orders!B:B,A174,Orders!K:K))</f>
        <v/>
      </c>
    </row>
    <row r="175">
      <c r="I175" s="5">
        <f>IFERROR(IF(MAXIFS(Orders!E:E,Orders!B:B,A175)=0,"",MAXIFS(Orders!E:E,Orders!B:B,A175)),"")</f>
        <v/>
      </c>
      <c r="J175" s="5">
        <f>IF(A175="","",COUNTIF(Orders!B:B,A175))</f>
        <v/>
      </c>
      <c r="K175" s="5">
        <f>IF(A175="","",SUMIF(Orders!B:B,A175,Orders!K:K))</f>
        <v/>
      </c>
    </row>
    <row r="176">
      <c r="I176" s="5">
        <f>IFERROR(IF(MAXIFS(Orders!E:E,Orders!B:B,A176)=0,"",MAXIFS(Orders!E:E,Orders!B:B,A176)),"")</f>
        <v/>
      </c>
      <c r="J176" s="5">
        <f>IF(A176="","",COUNTIF(Orders!B:B,A176))</f>
        <v/>
      </c>
      <c r="K176" s="5">
        <f>IF(A176="","",SUMIF(Orders!B:B,A176,Orders!K:K))</f>
        <v/>
      </c>
    </row>
    <row r="177">
      <c r="I177" s="5">
        <f>IFERROR(IF(MAXIFS(Orders!E:E,Orders!B:B,A177)=0,"",MAXIFS(Orders!E:E,Orders!B:B,A177)),"")</f>
        <v/>
      </c>
      <c r="J177" s="5">
        <f>IF(A177="","",COUNTIF(Orders!B:B,A177))</f>
        <v/>
      </c>
      <c r="K177" s="5">
        <f>IF(A177="","",SUMIF(Orders!B:B,A177,Orders!K:K))</f>
        <v/>
      </c>
    </row>
    <row r="178">
      <c r="I178" s="5">
        <f>IFERROR(IF(MAXIFS(Orders!E:E,Orders!B:B,A178)=0,"",MAXIFS(Orders!E:E,Orders!B:B,A178)),"")</f>
        <v/>
      </c>
      <c r="J178" s="5">
        <f>IF(A178="","",COUNTIF(Orders!B:B,A178))</f>
        <v/>
      </c>
      <c r="K178" s="5">
        <f>IF(A178="","",SUMIF(Orders!B:B,A178,Orders!K:K))</f>
        <v/>
      </c>
    </row>
    <row r="179">
      <c r="I179" s="5">
        <f>IFERROR(IF(MAXIFS(Orders!E:E,Orders!B:B,A179)=0,"",MAXIFS(Orders!E:E,Orders!B:B,A179)),"")</f>
        <v/>
      </c>
      <c r="J179" s="5">
        <f>IF(A179="","",COUNTIF(Orders!B:B,A179))</f>
        <v/>
      </c>
      <c r="K179" s="5">
        <f>IF(A179="","",SUMIF(Orders!B:B,A179,Orders!K:K))</f>
        <v/>
      </c>
    </row>
    <row r="180">
      <c r="I180" s="5">
        <f>IFERROR(IF(MAXIFS(Orders!E:E,Orders!B:B,A180)=0,"",MAXIFS(Orders!E:E,Orders!B:B,A180)),"")</f>
        <v/>
      </c>
      <c r="J180" s="5">
        <f>IF(A180="","",COUNTIF(Orders!B:B,A180))</f>
        <v/>
      </c>
      <c r="K180" s="5">
        <f>IF(A180="","",SUMIF(Orders!B:B,A180,Orders!K:K))</f>
        <v/>
      </c>
    </row>
    <row r="181">
      <c r="I181" s="5">
        <f>IFERROR(IF(MAXIFS(Orders!E:E,Orders!B:B,A181)=0,"",MAXIFS(Orders!E:E,Orders!B:B,A181)),"")</f>
        <v/>
      </c>
      <c r="J181" s="5">
        <f>IF(A181="","",COUNTIF(Orders!B:B,A181))</f>
        <v/>
      </c>
      <c r="K181" s="5">
        <f>IF(A181="","",SUMIF(Orders!B:B,A181,Orders!K:K))</f>
        <v/>
      </c>
    </row>
    <row r="182">
      <c r="I182" s="5">
        <f>IFERROR(IF(MAXIFS(Orders!E:E,Orders!B:B,A182)=0,"",MAXIFS(Orders!E:E,Orders!B:B,A182)),"")</f>
        <v/>
      </c>
      <c r="J182" s="5">
        <f>IF(A182="","",COUNTIF(Orders!B:B,A182))</f>
        <v/>
      </c>
      <c r="K182" s="5">
        <f>IF(A182="","",SUMIF(Orders!B:B,A182,Orders!K:K))</f>
        <v/>
      </c>
    </row>
    <row r="183">
      <c r="I183" s="5">
        <f>IFERROR(IF(MAXIFS(Orders!E:E,Orders!B:B,A183)=0,"",MAXIFS(Orders!E:E,Orders!B:B,A183)),"")</f>
        <v/>
      </c>
      <c r="J183" s="5">
        <f>IF(A183="","",COUNTIF(Orders!B:B,A183))</f>
        <v/>
      </c>
      <c r="K183" s="5">
        <f>IF(A183="","",SUMIF(Orders!B:B,A183,Orders!K:K))</f>
        <v/>
      </c>
    </row>
    <row r="184">
      <c r="I184" s="5">
        <f>IFERROR(IF(MAXIFS(Orders!E:E,Orders!B:B,A184)=0,"",MAXIFS(Orders!E:E,Orders!B:B,A184)),"")</f>
        <v/>
      </c>
      <c r="J184" s="5">
        <f>IF(A184="","",COUNTIF(Orders!B:B,A184))</f>
        <v/>
      </c>
      <c r="K184" s="5">
        <f>IF(A184="","",SUMIF(Orders!B:B,A184,Orders!K:K))</f>
        <v/>
      </c>
    </row>
    <row r="185">
      <c r="I185" s="5">
        <f>IFERROR(IF(MAXIFS(Orders!E:E,Orders!B:B,A185)=0,"",MAXIFS(Orders!E:E,Orders!B:B,A185)),"")</f>
        <v/>
      </c>
      <c r="J185" s="5">
        <f>IF(A185="","",COUNTIF(Orders!B:B,A185))</f>
        <v/>
      </c>
      <c r="K185" s="5">
        <f>IF(A185="","",SUMIF(Orders!B:B,A185,Orders!K:K))</f>
        <v/>
      </c>
    </row>
    <row r="186">
      <c r="I186" s="5">
        <f>IFERROR(IF(MAXIFS(Orders!E:E,Orders!B:B,A186)=0,"",MAXIFS(Orders!E:E,Orders!B:B,A186)),"")</f>
        <v/>
      </c>
      <c r="J186" s="5">
        <f>IF(A186="","",COUNTIF(Orders!B:B,A186))</f>
        <v/>
      </c>
      <c r="K186" s="5">
        <f>IF(A186="","",SUMIF(Orders!B:B,A186,Orders!K:K))</f>
        <v/>
      </c>
    </row>
    <row r="187">
      <c r="I187" s="5">
        <f>IFERROR(IF(MAXIFS(Orders!E:E,Orders!B:B,A187)=0,"",MAXIFS(Orders!E:E,Orders!B:B,A187)),"")</f>
        <v/>
      </c>
      <c r="J187" s="5">
        <f>IF(A187="","",COUNTIF(Orders!B:B,A187))</f>
        <v/>
      </c>
      <c r="K187" s="5">
        <f>IF(A187="","",SUMIF(Orders!B:B,A187,Orders!K:K))</f>
        <v/>
      </c>
    </row>
    <row r="188">
      <c r="I188" s="5">
        <f>IFERROR(IF(MAXIFS(Orders!E:E,Orders!B:B,A188)=0,"",MAXIFS(Orders!E:E,Orders!B:B,A188)),"")</f>
        <v/>
      </c>
      <c r="J188" s="5">
        <f>IF(A188="","",COUNTIF(Orders!B:B,A188))</f>
        <v/>
      </c>
      <c r="K188" s="5">
        <f>IF(A188="","",SUMIF(Orders!B:B,A188,Orders!K:K))</f>
        <v/>
      </c>
    </row>
    <row r="189">
      <c r="I189" s="5">
        <f>IFERROR(IF(MAXIFS(Orders!E:E,Orders!B:B,A189)=0,"",MAXIFS(Orders!E:E,Orders!B:B,A189)),"")</f>
        <v/>
      </c>
      <c r="J189" s="5">
        <f>IF(A189="","",COUNTIF(Orders!B:B,A189))</f>
        <v/>
      </c>
      <c r="K189" s="5">
        <f>IF(A189="","",SUMIF(Orders!B:B,A189,Orders!K:K))</f>
        <v/>
      </c>
    </row>
    <row r="190">
      <c r="I190" s="5">
        <f>IFERROR(IF(MAXIFS(Orders!E:E,Orders!B:B,A190)=0,"",MAXIFS(Orders!E:E,Orders!B:B,A190)),"")</f>
        <v/>
      </c>
      <c r="J190" s="5">
        <f>IF(A190="","",COUNTIF(Orders!B:B,A190))</f>
        <v/>
      </c>
      <c r="K190" s="5">
        <f>IF(A190="","",SUMIF(Orders!B:B,A190,Orders!K:K))</f>
        <v/>
      </c>
    </row>
    <row r="191">
      <c r="I191" s="5">
        <f>IFERROR(IF(MAXIFS(Orders!E:E,Orders!B:B,A191)=0,"",MAXIFS(Orders!E:E,Orders!B:B,A191)),"")</f>
        <v/>
      </c>
      <c r="J191" s="5">
        <f>IF(A191="","",COUNTIF(Orders!B:B,A191))</f>
        <v/>
      </c>
      <c r="K191" s="5">
        <f>IF(A191="","",SUMIF(Orders!B:B,A191,Orders!K:K))</f>
        <v/>
      </c>
    </row>
    <row r="192">
      <c r="I192" s="5">
        <f>IFERROR(IF(MAXIFS(Orders!E:E,Orders!B:B,A192)=0,"",MAXIFS(Orders!E:E,Orders!B:B,A192)),"")</f>
        <v/>
      </c>
      <c r="J192" s="5">
        <f>IF(A192="","",COUNTIF(Orders!B:B,A192))</f>
        <v/>
      </c>
      <c r="K192" s="5">
        <f>IF(A192="","",SUMIF(Orders!B:B,A192,Orders!K:K))</f>
        <v/>
      </c>
    </row>
    <row r="193">
      <c r="I193" s="5">
        <f>IFERROR(IF(MAXIFS(Orders!E:E,Orders!B:B,A193)=0,"",MAXIFS(Orders!E:E,Orders!B:B,A193)),"")</f>
        <v/>
      </c>
      <c r="J193" s="5">
        <f>IF(A193="","",COUNTIF(Orders!B:B,A193))</f>
        <v/>
      </c>
      <c r="K193" s="5">
        <f>IF(A193="","",SUMIF(Orders!B:B,A193,Orders!K:K))</f>
        <v/>
      </c>
    </row>
    <row r="194">
      <c r="I194" s="5">
        <f>IFERROR(IF(MAXIFS(Orders!E:E,Orders!B:B,A194)=0,"",MAXIFS(Orders!E:E,Orders!B:B,A194)),"")</f>
        <v/>
      </c>
      <c r="J194" s="5">
        <f>IF(A194="","",COUNTIF(Orders!B:B,A194))</f>
        <v/>
      </c>
      <c r="K194" s="5">
        <f>IF(A194="","",SUMIF(Orders!B:B,A194,Orders!K:K))</f>
        <v/>
      </c>
    </row>
    <row r="195">
      <c r="I195" s="5">
        <f>IFERROR(IF(MAXIFS(Orders!E:E,Orders!B:B,A195)=0,"",MAXIFS(Orders!E:E,Orders!B:B,A195)),"")</f>
        <v/>
      </c>
      <c r="J195" s="5">
        <f>IF(A195="","",COUNTIF(Orders!B:B,A195))</f>
        <v/>
      </c>
      <c r="K195" s="5">
        <f>IF(A195="","",SUMIF(Orders!B:B,A195,Orders!K:K))</f>
        <v/>
      </c>
    </row>
    <row r="196">
      <c r="I196" s="5">
        <f>IFERROR(IF(MAXIFS(Orders!E:E,Orders!B:B,A196)=0,"",MAXIFS(Orders!E:E,Orders!B:B,A196)),"")</f>
        <v/>
      </c>
      <c r="J196" s="5">
        <f>IF(A196="","",COUNTIF(Orders!B:B,A196))</f>
        <v/>
      </c>
      <c r="K196" s="5">
        <f>IF(A196="","",SUMIF(Orders!B:B,A196,Orders!K:K))</f>
        <v/>
      </c>
    </row>
    <row r="197">
      <c r="I197" s="5">
        <f>IFERROR(IF(MAXIFS(Orders!E:E,Orders!B:B,A197)=0,"",MAXIFS(Orders!E:E,Orders!B:B,A197)),"")</f>
        <v/>
      </c>
      <c r="J197" s="5">
        <f>IF(A197="","",COUNTIF(Orders!B:B,A197))</f>
        <v/>
      </c>
      <c r="K197" s="5">
        <f>IF(A197="","",SUMIF(Orders!B:B,A197,Orders!K:K))</f>
        <v/>
      </c>
    </row>
    <row r="198">
      <c r="I198" s="5">
        <f>IFERROR(IF(MAXIFS(Orders!E:E,Orders!B:B,A198)=0,"",MAXIFS(Orders!E:E,Orders!B:B,A198)),"")</f>
        <v/>
      </c>
      <c r="J198" s="5">
        <f>IF(A198="","",COUNTIF(Orders!B:B,A198))</f>
        <v/>
      </c>
      <c r="K198" s="5">
        <f>IF(A198="","",SUMIF(Orders!B:B,A198,Orders!K:K))</f>
        <v/>
      </c>
    </row>
    <row r="199">
      <c r="I199" s="5">
        <f>IFERROR(IF(MAXIFS(Orders!E:E,Orders!B:B,A199)=0,"",MAXIFS(Orders!E:E,Orders!B:B,A199)),"")</f>
        <v/>
      </c>
      <c r="J199" s="5">
        <f>IF(A199="","",COUNTIF(Orders!B:B,A199))</f>
        <v/>
      </c>
      <c r="K199" s="5">
        <f>IF(A199="","",SUMIF(Orders!B:B,A199,Orders!K:K))</f>
        <v/>
      </c>
    </row>
    <row r="200">
      <c r="I200" s="5">
        <f>IFERROR(IF(MAXIFS(Orders!E:E,Orders!B:B,A200)=0,"",MAXIFS(Orders!E:E,Orders!B:B,A200)),"")</f>
        <v/>
      </c>
      <c r="J200" s="5">
        <f>IF(A200="","",COUNTIF(Orders!B:B,A200))</f>
        <v/>
      </c>
      <c r="K200" s="5">
        <f>IF(A200="","",SUMIF(Orders!B:B,A200,Orders!K:K))</f>
        <v/>
      </c>
    </row>
    <row r="201">
      <c r="I201" s="5">
        <f>IFERROR(IF(MAXIFS(Orders!E:E,Orders!B:B,A201)=0,"",MAXIFS(Orders!E:E,Orders!B:B,A201)),"")</f>
        <v/>
      </c>
      <c r="J201" s="5">
        <f>IF(A201="","",COUNTIF(Orders!B:B,A201))</f>
        <v/>
      </c>
      <c r="K201" s="5">
        <f>IF(A201="","",SUMIF(Orders!B:B,A201,Orders!K:K))</f>
        <v/>
      </c>
    </row>
    <row r="202">
      <c r="I202" s="5">
        <f>IFERROR(IF(MAXIFS(Orders!E:E,Orders!B:B,A202)=0,"",MAXIFS(Orders!E:E,Orders!B:B,A202)),"")</f>
        <v/>
      </c>
      <c r="J202" s="5">
        <f>IF(A202="","",COUNTIF(Orders!B:B,A202))</f>
        <v/>
      </c>
      <c r="K202" s="5">
        <f>IF(A202="","",SUMIF(Orders!B:B,A202,Orders!K:K))</f>
        <v/>
      </c>
    </row>
    <row r="203">
      <c r="I203" s="5">
        <f>IFERROR(IF(MAXIFS(Orders!E:E,Orders!B:B,A203)=0,"",MAXIFS(Orders!E:E,Orders!B:B,A203)),"")</f>
        <v/>
      </c>
      <c r="J203" s="5">
        <f>IF(A203="","",COUNTIF(Orders!B:B,A203))</f>
        <v/>
      </c>
      <c r="K203" s="5">
        <f>IF(A203="","",SUMIF(Orders!B:B,A203,Orders!K:K))</f>
        <v/>
      </c>
    </row>
    <row r="204">
      <c r="I204" s="5">
        <f>IFERROR(IF(MAXIFS(Orders!E:E,Orders!B:B,A204)=0,"",MAXIFS(Orders!E:E,Orders!B:B,A204)),"")</f>
        <v/>
      </c>
      <c r="J204" s="5">
        <f>IF(A204="","",COUNTIF(Orders!B:B,A204))</f>
        <v/>
      </c>
      <c r="K204" s="5">
        <f>IF(A204="","",SUMIF(Orders!B:B,A204,Orders!K:K))</f>
        <v/>
      </c>
    </row>
    <row r="205">
      <c r="I205" s="5">
        <f>IFERROR(IF(MAXIFS(Orders!E:E,Orders!B:B,A205)=0,"",MAXIFS(Orders!E:E,Orders!B:B,A205)),"")</f>
        <v/>
      </c>
      <c r="J205" s="5">
        <f>IF(A205="","",COUNTIF(Orders!B:B,A205))</f>
        <v/>
      </c>
      <c r="K205" s="5">
        <f>IF(A205="","",SUMIF(Orders!B:B,A205,Orders!K:K))</f>
        <v/>
      </c>
    </row>
    <row r="206">
      <c r="I206" s="5">
        <f>IFERROR(IF(MAXIFS(Orders!E:E,Orders!B:B,A206)=0,"",MAXIFS(Orders!E:E,Orders!B:B,A206)),"")</f>
        <v/>
      </c>
      <c r="J206" s="5">
        <f>IF(A206="","",COUNTIF(Orders!B:B,A206))</f>
        <v/>
      </c>
      <c r="K206" s="5">
        <f>IF(A206="","",SUMIF(Orders!B:B,A206,Orders!K:K))</f>
        <v/>
      </c>
    </row>
    <row r="207">
      <c r="I207" s="5">
        <f>IFERROR(IF(MAXIFS(Orders!E:E,Orders!B:B,A207)=0,"",MAXIFS(Orders!E:E,Orders!B:B,A207)),"")</f>
        <v/>
      </c>
      <c r="J207" s="5">
        <f>IF(A207="","",COUNTIF(Orders!B:B,A207))</f>
        <v/>
      </c>
      <c r="K207" s="5">
        <f>IF(A207="","",SUMIF(Orders!B:B,A207,Orders!K:K))</f>
        <v/>
      </c>
    </row>
    <row r="208">
      <c r="I208" s="5">
        <f>IFERROR(IF(MAXIFS(Orders!E:E,Orders!B:B,A208)=0,"",MAXIFS(Orders!E:E,Orders!B:B,A208)),"")</f>
        <v/>
      </c>
      <c r="J208" s="5">
        <f>IF(A208="","",COUNTIF(Orders!B:B,A208))</f>
        <v/>
      </c>
      <c r="K208" s="5">
        <f>IF(A208="","",SUMIF(Orders!B:B,A208,Orders!K:K))</f>
        <v/>
      </c>
    </row>
    <row r="209">
      <c r="I209" s="5">
        <f>IFERROR(IF(MAXIFS(Orders!E:E,Orders!B:B,A209)=0,"",MAXIFS(Orders!E:E,Orders!B:B,A209)),"")</f>
        <v/>
      </c>
      <c r="J209" s="5">
        <f>IF(A209="","",COUNTIF(Orders!B:B,A209))</f>
        <v/>
      </c>
      <c r="K209" s="5">
        <f>IF(A209="","",SUMIF(Orders!B:B,A209,Orders!K:K))</f>
        <v/>
      </c>
    </row>
    <row r="210">
      <c r="I210" s="5">
        <f>IFERROR(IF(MAXIFS(Orders!E:E,Orders!B:B,A210)=0,"",MAXIFS(Orders!E:E,Orders!B:B,A210)),"")</f>
        <v/>
      </c>
      <c r="J210" s="5">
        <f>IF(A210="","",COUNTIF(Orders!B:B,A210))</f>
        <v/>
      </c>
      <c r="K210" s="5">
        <f>IF(A210="","",SUMIF(Orders!B:B,A210,Orders!K:K))</f>
        <v/>
      </c>
    </row>
    <row r="211">
      <c r="I211" s="5">
        <f>IFERROR(IF(MAXIFS(Orders!E:E,Orders!B:B,A211)=0,"",MAXIFS(Orders!E:E,Orders!B:B,A211)),"")</f>
        <v/>
      </c>
      <c r="J211" s="5">
        <f>IF(A211="","",COUNTIF(Orders!B:B,A211))</f>
        <v/>
      </c>
      <c r="K211" s="5">
        <f>IF(A211="","",SUMIF(Orders!B:B,A211,Orders!K:K))</f>
        <v/>
      </c>
    </row>
    <row r="212">
      <c r="I212" s="5">
        <f>IFERROR(IF(MAXIFS(Orders!E:E,Orders!B:B,A212)=0,"",MAXIFS(Orders!E:E,Orders!B:B,A212)),"")</f>
        <v/>
      </c>
      <c r="J212" s="5">
        <f>IF(A212="","",COUNTIF(Orders!B:B,A212))</f>
        <v/>
      </c>
      <c r="K212" s="5">
        <f>IF(A212="","",SUMIF(Orders!B:B,A212,Orders!K:K))</f>
        <v/>
      </c>
    </row>
    <row r="213">
      <c r="I213" s="5">
        <f>IFERROR(IF(MAXIFS(Orders!E:E,Orders!B:B,A213)=0,"",MAXIFS(Orders!E:E,Orders!B:B,A213)),"")</f>
        <v/>
      </c>
      <c r="J213" s="5">
        <f>IF(A213="","",COUNTIF(Orders!B:B,A213))</f>
        <v/>
      </c>
      <c r="K213" s="5">
        <f>IF(A213="","",SUMIF(Orders!B:B,A213,Orders!K:K))</f>
        <v/>
      </c>
    </row>
    <row r="214">
      <c r="I214" s="5">
        <f>IFERROR(IF(MAXIFS(Orders!E:E,Orders!B:B,A214)=0,"",MAXIFS(Orders!E:E,Orders!B:B,A214)),"")</f>
        <v/>
      </c>
      <c r="J214" s="5">
        <f>IF(A214="","",COUNTIF(Orders!B:B,A214))</f>
        <v/>
      </c>
      <c r="K214" s="5">
        <f>IF(A214="","",SUMIF(Orders!B:B,A214,Orders!K:K))</f>
        <v/>
      </c>
    </row>
    <row r="215">
      <c r="I215" s="5">
        <f>IFERROR(IF(MAXIFS(Orders!E:E,Orders!B:B,A215)=0,"",MAXIFS(Orders!E:E,Orders!B:B,A215)),"")</f>
        <v/>
      </c>
      <c r="J215" s="5">
        <f>IF(A215="","",COUNTIF(Orders!B:B,A215))</f>
        <v/>
      </c>
      <c r="K215" s="5">
        <f>IF(A215="","",SUMIF(Orders!B:B,A215,Orders!K:K))</f>
        <v/>
      </c>
    </row>
    <row r="216">
      <c r="I216" s="5">
        <f>IFERROR(IF(MAXIFS(Orders!E:E,Orders!B:B,A216)=0,"",MAXIFS(Orders!E:E,Orders!B:B,A216)),"")</f>
        <v/>
      </c>
      <c r="J216" s="5">
        <f>IF(A216="","",COUNTIF(Orders!B:B,A216))</f>
        <v/>
      </c>
      <c r="K216" s="5">
        <f>IF(A216="","",SUMIF(Orders!B:B,A216,Orders!K:K))</f>
        <v/>
      </c>
    </row>
    <row r="217">
      <c r="I217" s="5">
        <f>IFERROR(IF(MAXIFS(Orders!E:E,Orders!B:B,A217)=0,"",MAXIFS(Orders!E:E,Orders!B:B,A217)),"")</f>
        <v/>
      </c>
      <c r="J217" s="5">
        <f>IF(A217="","",COUNTIF(Orders!B:B,A217))</f>
        <v/>
      </c>
      <c r="K217" s="5">
        <f>IF(A217="","",SUMIF(Orders!B:B,A217,Orders!K:K))</f>
        <v/>
      </c>
    </row>
    <row r="218">
      <c r="I218" s="5">
        <f>IFERROR(IF(MAXIFS(Orders!E:E,Orders!B:B,A218)=0,"",MAXIFS(Orders!E:E,Orders!B:B,A218)),"")</f>
        <v/>
      </c>
      <c r="J218" s="5">
        <f>IF(A218="","",COUNTIF(Orders!B:B,A218))</f>
        <v/>
      </c>
      <c r="K218" s="5">
        <f>IF(A218="","",SUMIF(Orders!B:B,A218,Orders!K:K))</f>
        <v/>
      </c>
    </row>
    <row r="219">
      <c r="I219" s="5">
        <f>IFERROR(IF(MAXIFS(Orders!E:E,Orders!B:B,A219)=0,"",MAXIFS(Orders!E:E,Orders!B:B,A219)),"")</f>
        <v/>
      </c>
      <c r="J219" s="5">
        <f>IF(A219="","",COUNTIF(Orders!B:B,A219))</f>
        <v/>
      </c>
      <c r="K219" s="5">
        <f>IF(A219="","",SUMIF(Orders!B:B,A219,Orders!K:K))</f>
        <v/>
      </c>
    </row>
    <row r="220">
      <c r="I220" s="5">
        <f>IFERROR(IF(MAXIFS(Orders!E:E,Orders!B:B,A220)=0,"",MAXIFS(Orders!E:E,Orders!B:B,A220)),"")</f>
        <v/>
      </c>
      <c r="J220" s="5">
        <f>IF(A220="","",COUNTIF(Orders!B:B,A220))</f>
        <v/>
      </c>
      <c r="K220" s="5">
        <f>IF(A220="","",SUMIF(Orders!B:B,A220,Orders!K:K))</f>
        <v/>
      </c>
    </row>
    <row r="221">
      <c r="I221" s="5">
        <f>IFERROR(IF(MAXIFS(Orders!E:E,Orders!B:B,A221)=0,"",MAXIFS(Orders!E:E,Orders!B:B,A221)),"")</f>
        <v/>
      </c>
      <c r="J221" s="5">
        <f>IF(A221="","",COUNTIF(Orders!B:B,A221))</f>
        <v/>
      </c>
      <c r="K221" s="5">
        <f>IF(A221="","",SUMIF(Orders!B:B,A221,Orders!K:K))</f>
        <v/>
      </c>
    </row>
    <row r="222">
      <c r="I222" s="5">
        <f>IFERROR(IF(MAXIFS(Orders!E:E,Orders!B:B,A222)=0,"",MAXIFS(Orders!E:E,Orders!B:B,A222)),"")</f>
        <v/>
      </c>
      <c r="J222" s="5">
        <f>IF(A222="","",COUNTIF(Orders!B:B,A222))</f>
        <v/>
      </c>
      <c r="K222" s="5">
        <f>IF(A222="","",SUMIF(Orders!B:B,A222,Orders!K:K))</f>
        <v/>
      </c>
    </row>
    <row r="223">
      <c r="I223" s="5">
        <f>IFERROR(IF(MAXIFS(Orders!E:E,Orders!B:B,A223)=0,"",MAXIFS(Orders!E:E,Orders!B:B,A223)),"")</f>
        <v/>
      </c>
      <c r="J223" s="5">
        <f>IF(A223="","",COUNTIF(Orders!B:B,A223))</f>
        <v/>
      </c>
      <c r="K223" s="5">
        <f>IF(A223="","",SUMIF(Orders!B:B,A223,Orders!K:K))</f>
        <v/>
      </c>
    </row>
    <row r="224">
      <c r="I224" s="5">
        <f>IFERROR(IF(MAXIFS(Orders!E:E,Orders!B:B,A224)=0,"",MAXIFS(Orders!E:E,Orders!B:B,A224)),"")</f>
        <v/>
      </c>
      <c r="J224" s="5">
        <f>IF(A224="","",COUNTIF(Orders!B:B,A224))</f>
        <v/>
      </c>
      <c r="K224" s="5">
        <f>IF(A224="","",SUMIF(Orders!B:B,A224,Orders!K:K))</f>
        <v/>
      </c>
    </row>
    <row r="225">
      <c r="I225" s="5">
        <f>IFERROR(IF(MAXIFS(Orders!E:E,Orders!B:B,A225)=0,"",MAXIFS(Orders!E:E,Orders!B:B,A225)),"")</f>
        <v/>
      </c>
      <c r="J225" s="5">
        <f>IF(A225="","",COUNTIF(Orders!B:B,A225))</f>
        <v/>
      </c>
      <c r="K225" s="5">
        <f>IF(A225="","",SUMIF(Orders!B:B,A225,Orders!K:K))</f>
        <v/>
      </c>
    </row>
    <row r="226">
      <c r="I226" s="5">
        <f>IFERROR(IF(MAXIFS(Orders!E:E,Orders!B:B,A226)=0,"",MAXIFS(Orders!E:E,Orders!B:B,A226)),"")</f>
        <v/>
      </c>
      <c r="J226" s="5">
        <f>IF(A226="","",COUNTIF(Orders!B:B,A226))</f>
        <v/>
      </c>
      <c r="K226" s="5">
        <f>IF(A226="","",SUMIF(Orders!B:B,A226,Orders!K:K))</f>
        <v/>
      </c>
    </row>
    <row r="227">
      <c r="I227" s="5">
        <f>IFERROR(IF(MAXIFS(Orders!E:E,Orders!B:B,A227)=0,"",MAXIFS(Orders!E:E,Orders!B:B,A227)),"")</f>
        <v/>
      </c>
      <c r="J227" s="5">
        <f>IF(A227="","",COUNTIF(Orders!B:B,A227))</f>
        <v/>
      </c>
      <c r="K227" s="5">
        <f>IF(A227="","",SUMIF(Orders!B:B,A227,Orders!K:K))</f>
        <v/>
      </c>
    </row>
    <row r="228">
      <c r="I228" s="5">
        <f>IFERROR(IF(MAXIFS(Orders!E:E,Orders!B:B,A228)=0,"",MAXIFS(Orders!E:E,Orders!B:B,A228)),"")</f>
        <v/>
      </c>
      <c r="J228" s="5">
        <f>IF(A228="","",COUNTIF(Orders!B:B,A228))</f>
        <v/>
      </c>
      <c r="K228" s="5">
        <f>IF(A228="","",SUMIF(Orders!B:B,A228,Orders!K:K))</f>
        <v/>
      </c>
    </row>
    <row r="229">
      <c r="I229" s="5">
        <f>IFERROR(IF(MAXIFS(Orders!E:E,Orders!B:B,A229)=0,"",MAXIFS(Orders!E:E,Orders!B:B,A229)),"")</f>
        <v/>
      </c>
      <c r="J229" s="5">
        <f>IF(A229="","",COUNTIF(Orders!B:B,A229))</f>
        <v/>
      </c>
      <c r="K229" s="5">
        <f>IF(A229="","",SUMIF(Orders!B:B,A229,Orders!K:K))</f>
        <v/>
      </c>
    </row>
    <row r="230">
      <c r="I230" s="5">
        <f>IFERROR(IF(MAXIFS(Orders!E:E,Orders!B:B,A230)=0,"",MAXIFS(Orders!E:E,Orders!B:B,A230)),"")</f>
        <v/>
      </c>
      <c r="J230" s="5">
        <f>IF(A230="","",COUNTIF(Orders!B:B,A230))</f>
        <v/>
      </c>
      <c r="K230" s="5">
        <f>IF(A230="","",SUMIF(Orders!B:B,A230,Orders!K:K))</f>
        <v/>
      </c>
    </row>
    <row r="231">
      <c r="I231" s="5">
        <f>IFERROR(IF(MAXIFS(Orders!E:E,Orders!B:B,A231)=0,"",MAXIFS(Orders!E:E,Orders!B:B,A231)),"")</f>
        <v/>
      </c>
      <c r="J231" s="5">
        <f>IF(A231="","",COUNTIF(Orders!B:B,A231))</f>
        <v/>
      </c>
      <c r="K231" s="5">
        <f>IF(A231="","",SUMIF(Orders!B:B,A231,Orders!K:K))</f>
        <v/>
      </c>
    </row>
    <row r="232">
      <c r="I232" s="5">
        <f>IFERROR(IF(MAXIFS(Orders!E:E,Orders!B:B,A232)=0,"",MAXIFS(Orders!E:E,Orders!B:B,A232)),"")</f>
        <v/>
      </c>
      <c r="J232" s="5">
        <f>IF(A232="","",COUNTIF(Orders!B:B,A232))</f>
        <v/>
      </c>
      <c r="K232" s="5">
        <f>IF(A232="","",SUMIF(Orders!B:B,A232,Orders!K:K))</f>
        <v/>
      </c>
    </row>
    <row r="233">
      <c r="I233" s="5">
        <f>IFERROR(IF(MAXIFS(Orders!E:E,Orders!B:B,A233)=0,"",MAXIFS(Orders!E:E,Orders!B:B,A233)),"")</f>
        <v/>
      </c>
      <c r="J233" s="5">
        <f>IF(A233="","",COUNTIF(Orders!B:B,A233))</f>
        <v/>
      </c>
      <c r="K233" s="5">
        <f>IF(A233="","",SUMIF(Orders!B:B,A233,Orders!K:K))</f>
        <v/>
      </c>
    </row>
    <row r="234">
      <c r="I234" s="5">
        <f>IFERROR(IF(MAXIFS(Orders!E:E,Orders!B:B,A234)=0,"",MAXIFS(Orders!E:E,Orders!B:B,A234)),"")</f>
        <v/>
      </c>
      <c r="J234" s="5">
        <f>IF(A234="","",COUNTIF(Orders!B:B,A234))</f>
        <v/>
      </c>
      <c r="K234" s="5">
        <f>IF(A234="","",SUMIF(Orders!B:B,A234,Orders!K:K))</f>
        <v/>
      </c>
    </row>
    <row r="235">
      <c r="I235" s="5">
        <f>IFERROR(IF(MAXIFS(Orders!E:E,Orders!B:B,A235)=0,"",MAXIFS(Orders!E:E,Orders!B:B,A235)),"")</f>
        <v/>
      </c>
      <c r="J235" s="5">
        <f>IF(A235="","",COUNTIF(Orders!B:B,A235))</f>
        <v/>
      </c>
      <c r="K235" s="5">
        <f>IF(A235="","",SUMIF(Orders!B:B,A235,Orders!K:K))</f>
        <v/>
      </c>
    </row>
    <row r="236">
      <c r="I236" s="5">
        <f>IFERROR(IF(MAXIFS(Orders!E:E,Orders!B:B,A236)=0,"",MAXIFS(Orders!E:E,Orders!B:B,A236)),"")</f>
        <v/>
      </c>
      <c r="J236" s="5">
        <f>IF(A236="","",COUNTIF(Orders!B:B,A236))</f>
        <v/>
      </c>
      <c r="K236" s="5">
        <f>IF(A236="","",SUMIF(Orders!B:B,A236,Orders!K:K))</f>
        <v/>
      </c>
    </row>
    <row r="237">
      <c r="I237" s="5">
        <f>IFERROR(IF(MAXIFS(Orders!E:E,Orders!B:B,A237)=0,"",MAXIFS(Orders!E:E,Orders!B:B,A237)),"")</f>
        <v/>
      </c>
      <c r="J237" s="5">
        <f>IF(A237="","",COUNTIF(Orders!B:B,A237))</f>
        <v/>
      </c>
      <c r="K237" s="5">
        <f>IF(A237="","",SUMIF(Orders!B:B,A237,Orders!K:K))</f>
        <v/>
      </c>
    </row>
    <row r="238">
      <c r="I238" s="5">
        <f>IFERROR(IF(MAXIFS(Orders!E:E,Orders!B:B,A238)=0,"",MAXIFS(Orders!E:E,Orders!B:B,A238)),"")</f>
        <v/>
      </c>
      <c r="J238" s="5">
        <f>IF(A238="","",COUNTIF(Orders!B:B,A238))</f>
        <v/>
      </c>
      <c r="K238" s="5">
        <f>IF(A238="","",SUMIF(Orders!B:B,A238,Orders!K:K))</f>
        <v/>
      </c>
    </row>
    <row r="239">
      <c r="I239" s="5">
        <f>IFERROR(IF(MAXIFS(Orders!E:E,Orders!B:B,A239)=0,"",MAXIFS(Orders!E:E,Orders!B:B,A239)),"")</f>
        <v/>
      </c>
      <c r="J239" s="5">
        <f>IF(A239="","",COUNTIF(Orders!B:B,A239))</f>
        <v/>
      </c>
      <c r="K239" s="5">
        <f>IF(A239="","",SUMIF(Orders!B:B,A239,Orders!K:K))</f>
        <v/>
      </c>
    </row>
    <row r="240">
      <c r="I240" s="5">
        <f>IFERROR(IF(MAXIFS(Orders!E:E,Orders!B:B,A240)=0,"",MAXIFS(Orders!E:E,Orders!B:B,A240)),"")</f>
        <v/>
      </c>
      <c r="J240" s="5">
        <f>IF(A240="","",COUNTIF(Orders!B:B,A240))</f>
        <v/>
      </c>
      <c r="K240" s="5">
        <f>IF(A240="","",SUMIF(Orders!B:B,A240,Orders!K:K))</f>
        <v/>
      </c>
    </row>
    <row r="241">
      <c r="I241" s="5">
        <f>IFERROR(IF(MAXIFS(Orders!E:E,Orders!B:B,A241)=0,"",MAXIFS(Orders!E:E,Orders!B:B,A241)),"")</f>
        <v/>
      </c>
      <c r="J241" s="5">
        <f>IF(A241="","",COUNTIF(Orders!B:B,A241))</f>
        <v/>
      </c>
      <c r="K241" s="5">
        <f>IF(A241="","",SUMIF(Orders!B:B,A241,Orders!K:K))</f>
        <v/>
      </c>
    </row>
    <row r="242">
      <c r="I242" s="5">
        <f>IFERROR(IF(MAXIFS(Orders!E:E,Orders!B:B,A242)=0,"",MAXIFS(Orders!E:E,Orders!B:B,A242)),"")</f>
        <v/>
      </c>
      <c r="J242" s="5">
        <f>IF(A242="","",COUNTIF(Orders!B:B,A242))</f>
        <v/>
      </c>
      <c r="K242" s="5">
        <f>IF(A242="","",SUMIF(Orders!B:B,A242,Orders!K:K))</f>
        <v/>
      </c>
    </row>
    <row r="243">
      <c r="I243" s="5">
        <f>IFERROR(IF(MAXIFS(Orders!E:E,Orders!B:B,A243)=0,"",MAXIFS(Orders!E:E,Orders!B:B,A243)),"")</f>
        <v/>
      </c>
      <c r="J243" s="5">
        <f>IF(A243="","",COUNTIF(Orders!B:B,A243))</f>
        <v/>
      </c>
      <c r="K243" s="5">
        <f>IF(A243="","",SUMIF(Orders!B:B,A243,Orders!K:K))</f>
        <v/>
      </c>
    </row>
    <row r="244">
      <c r="I244" s="5">
        <f>IFERROR(IF(MAXIFS(Orders!E:E,Orders!B:B,A244)=0,"",MAXIFS(Orders!E:E,Orders!B:B,A244)),"")</f>
        <v/>
      </c>
      <c r="J244" s="5">
        <f>IF(A244="","",COUNTIF(Orders!B:B,A244))</f>
        <v/>
      </c>
      <c r="K244" s="5">
        <f>IF(A244="","",SUMIF(Orders!B:B,A244,Orders!K:K))</f>
        <v/>
      </c>
    </row>
    <row r="245">
      <c r="I245" s="5">
        <f>IFERROR(IF(MAXIFS(Orders!E:E,Orders!B:B,A245)=0,"",MAXIFS(Orders!E:E,Orders!B:B,A245)),"")</f>
        <v/>
      </c>
      <c r="J245" s="5">
        <f>IF(A245="","",COUNTIF(Orders!B:B,A245))</f>
        <v/>
      </c>
      <c r="K245" s="5">
        <f>IF(A245="","",SUMIF(Orders!B:B,A245,Orders!K:K))</f>
        <v/>
      </c>
    </row>
    <row r="246">
      <c r="I246" s="5">
        <f>IFERROR(IF(MAXIFS(Orders!E:E,Orders!B:B,A246)=0,"",MAXIFS(Orders!E:E,Orders!B:B,A246)),"")</f>
        <v/>
      </c>
      <c r="J246" s="5">
        <f>IF(A246="","",COUNTIF(Orders!B:B,A246))</f>
        <v/>
      </c>
      <c r="K246" s="5">
        <f>IF(A246="","",SUMIF(Orders!B:B,A246,Orders!K:K))</f>
        <v/>
      </c>
    </row>
    <row r="247">
      <c r="I247" s="5">
        <f>IFERROR(IF(MAXIFS(Orders!E:E,Orders!B:B,A247)=0,"",MAXIFS(Orders!E:E,Orders!B:B,A247)),"")</f>
        <v/>
      </c>
      <c r="J247" s="5">
        <f>IF(A247="","",COUNTIF(Orders!B:B,A247))</f>
        <v/>
      </c>
      <c r="K247" s="5">
        <f>IF(A247="","",SUMIF(Orders!B:B,A247,Orders!K:K))</f>
        <v/>
      </c>
    </row>
    <row r="248">
      <c r="I248" s="5">
        <f>IFERROR(IF(MAXIFS(Orders!E:E,Orders!B:B,A248)=0,"",MAXIFS(Orders!E:E,Orders!B:B,A248)),"")</f>
        <v/>
      </c>
      <c r="J248" s="5">
        <f>IF(A248="","",COUNTIF(Orders!B:B,A248))</f>
        <v/>
      </c>
      <c r="K248" s="5">
        <f>IF(A248="","",SUMIF(Orders!B:B,A248,Orders!K:K))</f>
        <v/>
      </c>
    </row>
    <row r="249">
      <c r="I249" s="5">
        <f>IFERROR(IF(MAXIFS(Orders!E:E,Orders!B:B,A249)=0,"",MAXIFS(Orders!E:E,Orders!B:B,A249)),"")</f>
        <v/>
      </c>
      <c r="J249" s="5">
        <f>IF(A249="","",COUNTIF(Orders!B:B,A249))</f>
        <v/>
      </c>
      <c r="K249" s="5">
        <f>IF(A249="","",SUMIF(Orders!B:B,A249,Orders!K:K))</f>
        <v/>
      </c>
    </row>
    <row r="250">
      <c r="I250" s="5">
        <f>IFERROR(IF(MAXIFS(Orders!E:E,Orders!B:B,A250)=0,"",MAXIFS(Orders!E:E,Orders!B:B,A250)),"")</f>
        <v/>
      </c>
      <c r="J250" s="5">
        <f>IF(A250="","",COUNTIF(Orders!B:B,A250))</f>
        <v/>
      </c>
      <c r="K250" s="5">
        <f>IF(A250="","",SUMIF(Orders!B:B,A250,Orders!K:K))</f>
        <v/>
      </c>
    </row>
    <row r="251">
      <c r="I251" s="5">
        <f>IFERROR(IF(MAXIFS(Orders!E:E,Orders!B:B,A251)=0,"",MAXIFS(Orders!E:E,Orders!B:B,A251)),"")</f>
        <v/>
      </c>
      <c r="J251" s="5">
        <f>IF(A251="","",COUNTIF(Orders!B:B,A251))</f>
        <v/>
      </c>
      <c r="K251" s="5">
        <f>IF(A251="","",SUMIF(Orders!B:B,A251,Orders!K:K))</f>
        <v/>
      </c>
    </row>
    <row r="252">
      <c r="I252" s="5">
        <f>IFERROR(IF(MAXIFS(Orders!E:E,Orders!B:B,A252)=0,"",MAXIFS(Orders!E:E,Orders!B:B,A252)),"")</f>
        <v/>
      </c>
      <c r="J252" s="5">
        <f>IF(A252="","",COUNTIF(Orders!B:B,A252))</f>
        <v/>
      </c>
      <c r="K252" s="5">
        <f>IF(A252="","",SUMIF(Orders!B:B,A252,Orders!K:K))</f>
        <v/>
      </c>
    </row>
    <row r="253">
      <c r="I253" s="5">
        <f>IFERROR(IF(MAXIFS(Orders!E:E,Orders!B:B,A253)=0,"",MAXIFS(Orders!E:E,Orders!B:B,A253)),"")</f>
        <v/>
      </c>
      <c r="J253" s="5">
        <f>IF(A253="","",COUNTIF(Orders!B:B,A253))</f>
        <v/>
      </c>
      <c r="K253" s="5">
        <f>IF(A253="","",SUMIF(Orders!B:B,A253,Orders!K:K))</f>
        <v/>
      </c>
    </row>
    <row r="254">
      <c r="I254" s="5">
        <f>IFERROR(IF(MAXIFS(Orders!E:E,Orders!B:B,A254)=0,"",MAXIFS(Orders!E:E,Orders!B:B,A254)),"")</f>
        <v/>
      </c>
      <c r="J254" s="5">
        <f>IF(A254="","",COUNTIF(Orders!B:B,A254))</f>
        <v/>
      </c>
      <c r="K254" s="5">
        <f>IF(A254="","",SUMIF(Orders!B:B,A254,Orders!K:K))</f>
        <v/>
      </c>
    </row>
    <row r="255">
      <c r="I255" s="5">
        <f>IFERROR(IF(MAXIFS(Orders!E:E,Orders!B:B,A255)=0,"",MAXIFS(Orders!E:E,Orders!B:B,A255)),"")</f>
        <v/>
      </c>
      <c r="J255" s="5">
        <f>IF(A255="","",COUNTIF(Orders!B:B,A255))</f>
        <v/>
      </c>
      <c r="K255" s="5">
        <f>IF(A255="","",SUMIF(Orders!B:B,A255,Orders!K:K))</f>
        <v/>
      </c>
    </row>
    <row r="256">
      <c r="I256" s="5">
        <f>IFERROR(IF(MAXIFS(Orders!E:E,Orders!B:B,A256)=0,"",MAXIFS(Orders!E:E,Orders!B:B,A256)),"")</f>
        <v/>
      </c>
      <c r="J256" s="5">
        <f>IF(A256="","",COUNTIF(Orders!B:B,A256))</f>
        <v/>
      </c>
      <c r="K256" s="5">
        <f>IF(A256="","",SUMIF(Orders!B:B,A256,Orders!K:K))</f>
        <v/>
      </c>
    </row>
    <row r="257">
      <c r="I257" s="5">
        <f>IFERROR(IF(MAXIFS(Orders!E:E,Orders!B:B,A257)=0,"",MAXIFS(Orders!E:E,Orders!B:B,A257)),"")</f>
        <v/>
      </c>
      <c r="J257" s="5">
        <f>IF(A257="","",COUNTIF(Orders!B:B,A257))</f>
        <v/>
      </c>
      <c r="K257" s="5">
        <f>IF(A257="","",SUMIF(Orders!B:B,A257,Orders!K:K))</f>
        <v/>
      </c>
    </row>
    <row r="258">
      <c r="I258" s="5">
        <f>IFERROR(IF(MAXIFS(Orders!E:E,Orders!B:B,A258)=0,"",MAXIFS(Orders!E:E,Orders!B:B,A258)),"")</f>
        <v/>
      </c>
      <c r="J258" s="5">
        <f>IF(A258="","",COUNTIF(Orders!B:B,A258))</f>
        <v/>
      </c>
      <c r="K258" s="5">
        <f>IF(A258="","",SUMIF(Orders!B:B,A258,Orders!K:K))</f>
        <v/>
      </c>
    </row>
    <row r="259">
      <c r="I259" s="5">
        <f>IFERROR(IF(MAXIFS(Orders!E:E,Orders!B:B,A259)=0,"",MAXIFS(Orders!E:E,Orders!B:B,A259)),"")</f>
        <v/>
      </c>
      <c r="J259" s="5">
        <f>IF(A259="","",COUNTIF(Orders!B:B,A259))</f>
        <v/>
      </c>
      <c r="K259" s="5">
        <f>IF(A259="","",SUMIF(Orders!B:B,A259,Orders!K:K))</f>
        <v/>
      </c>
    </row>
    <row r="260">
      <c r="I260" s="5">
        <f>IFERROR(IF(MAXIFS(Orders!E:E,Orders!B:B,A260)=0,"",MAXIFS(Orders!E:E,Orders!B:B,A260)),"")</f>
        <v/>
      </c>
      <c r="J260" s="5">
        <f>IF(A260="","",COUNTIF(Orders!B:B,A260))</f>
        <v/>
      </c>
      <c r="K260" s="5">
        <f>IF(A260="","",SUMIF(Orders!B:B,A260,Orders!K:K))</f>
        <v/>
      </c>
    </row>
    <row r="261">
      <c r="I261" s="5">
        <f>IFERROR(IF(MAXIFS(Orders!E:E,Orders!B:B,A261)=0,"",MAXIFS(Orders!E:E,Orders!B:B,A261)),"")</f>
        <v/>
      </c>
      <c r="J261" s="5">
        <f>IF(A261="","",COUNTIF(Orders!B:B,A261))</f>
        <v/>
      </c>
      <c r="K261" s="5">
        <f>IF(A261="","",SUMIF(Orders!B:B,A261,Orders!K:K))</f>
        <v/>
      </c>
    </row>
    <row r="262">
      <c r="I262" s="5">
        <f>IFERROR(IF(MAXIFS(Orders!E:E,Orders!B:B,A262)=0,"",MAXIFS(Orders!E:E,Orders!B:B,A262)),"")</f>
        <v/>
      </c>
      <c r="J262" s="5">
        <f>IF(A262="","",COUNTIF(Orders!B:B,A262))</f>
        <v/>
      </c>
      <c r="K262" s="5">
        <f>IF(A262="","",SUMIF(Orders!B:B,A262,Orders!K:K))</f>
        <v/>
      </c>
    </row>
    <row r="263">
      <c r="I263" s="5">
        <f>IFERROR(IF(MAXIFS(Orders!E:E,Orders!B:B,A263)=0,"",MAXIFS(Orders!E:E,Orders!B:B,A263)),"")</f>
        <v/>
      </c>
      <c r="J263" s="5">
        <f>IF(A263="","",COUNTIF(Orders!B:B,A263))</f>
        <v/>
      </c>
      <c r="K263" s="5">
        <f>IF(A263="","",SUMIF(Orders!B:B,A263,Orders!K:K))</f>
        <v/>
      </c>
    </row>
    <row r="264">
      <c r="I264" s="5">
        <f>IFERROR(IF(MAXIFS(Orders!E:E,Orders!B:B,A264)=0,"",MAXIFS(Orders!E:E,Orders!B:B,A264)),"")</f>
        <v/>
      </c>
      <c r="J264" s="5">
        <f>IF(A264="","",COUNTIF(Orders!B:B,A264))</f>
        <v/>
      </c>
      <c r="K264" s="5">
        <f>IF(A264="","",SUMIF(Orders!B:B,A264,Orders!K:K))</f>
        <v/>
      </c>
    </row>
    <row r="265">
      <c r="I265" s="5">
        <f>IFERROR(IF(MAXIFS(Orders!E:E,Orders!B:B,A265)=0,"",MAXIFS(Orders!E:E,Orders!B:B,A265)),"")</f>
        <v/>
      </c>
      <c r="J265" s="5">
        <f>IF(A265="","",COUNTIF(Orders!B:B,A265))</f>
        <v/>
      </c>
      <c r="K265" s="5">
        <f>IF(A265="","",SUMIF(Orders!B:B,A265,Orders!K:K))</f>
        <v/>
      </c>
    </row>
    <row r="266">
      <c r="I266" s="5">
        <f>IFERROR(IF(MAXIFS(Orders!E:E,Orders!B:B,A266)=0,"",MAXIFS(Orders!E:E,Orders!B:B,A266)),"")</f>
        <v/>
      </c>
      <c r="J266" s="5">
        <f>IF(A266="","",COUNTIF(Orders!B:B,A266))</f>
        <v/>
      </c>
      <c r="K266" s="5">
        <f>IF(A266="","",SUMIF(Orders!B:B,A266,Orders!K:K))</f>
        <v/>
      </c>
    </row>
    <row r="267">
      <c r="I267" s="5">
        <f>IFERROR(IF(MAXIFS(Orders!E:E,Orders!B:B,A267)=0,"",MAXIFS(Orders!E:E,Orders!B:B,A267)),"")</f>
        <v/>
      </c>
      <c r="J267" s="5">
        <f>IF(A267="","",COUNTIF(Orders!B:B,A267))</f>
        <v/>
      </c>
      <c r="K267" s="5">
        <f>IF(A267="","",SUMIF(Orders!B:B,A267,Orders!K:K))</f>
        <v/>
      </c>
    </row>
    <row r="268">
      <c r="I268" s="5">
        <f>IFERROR(IF(MAXIFS(Orders!E:E,Orders!B:B,A268)=0,"",MAXIFS(Orders!E:E,Orders!B:B,A268)),"")</f>
        <v/>
      </c>
      <c r="J268" s="5">
        <f>IF(A268="","",COUNTIF(Orders!B:B,A268))</f>
        <v/>
      </c>
      <c r="K268" s="5">
        <f>IF(A268="","",SUMIF(Orders!B:B,A268,Orders!K:K))</f>
        <v/>
      </c>
    </row>
    <row r="269">
      <c r="I269" s="5">
        <f>IFERROR(IF(MAXIFS(Orders!E:E,Orders!B:B,A269)=0,"",MAXIFS(Orders!E:E,Orders!B:B,A269)),"")</f>
        <v/>
      </c>
      <c r="J269" s="5">
        <f>IF(A269="","",COUNTIF(Orders!B:B,A269))</f>
        <v/>
      </c>
      <c r="K269" s="5">
        <f>IF(A269="","",SUMIF(Orders!B:B,A269,Orders!K:K))</f>
        <v/>
      </c>
    </row>
    <row r="270">
      <c r="I270" s="5">
        <f>IFERROR(IF(MAXIFS(Orders!E:E,Orders!B:B,A270)=0,"",MAXIFS(Orders!E:E,Orders!B:B,A270)),"")</f>
        <v/>
      </c>
      <c r="J270" s="5">
        <f>IF(A270="","",COUNTIF(Orders!B:B,A270))</f>
        <v/>
      </c>
      <c r="K270" s="5">
        <f>IF(A270="","",SUMIF(Orders!B:B,A270,Orders!K:K))</f>
        <v/>
      </c>
    </row>
    <row r="271">
      <c r="I271" s="5">
        <f>IFERROR(IF(MAXIFS(Orders!E:E,Orders!B:B,A271)=0,"",MAXIFS(Orders!E:E,Orders!B:B,A271)),"")</f>
        <v/>
      </c>
      <c r="J271" s="5">
        <f>IF(A271="","",COUNTIF(Orders!B:B,A271))</f>
        <v/>
      </c>
      <c r="K271" s="5">
        <f>IF(A271="","",SUMIF(Orders!B:B,A271,Orders!K:K))</f>
        <v/>
      </c>
    </row>
    <row r="272">
      <c r="I272" s="5">
        <f>IFERROR(IF(MAXIFS(Orders!E:E,Orders!B:B,A272)=0,"",MAXIFS(Orders!E:E,Orders!B:B,A272)),"")</f>
        <v/>
      </c>
      <c r="J272" s="5">
        <f>IF(A272="","",COUNTIF(Orders!B:B,A272))</f>
        <v/>
      </c>
      <c r="K272" s="5">
        <f>IF(A272="","",SUMIF(Orders!B:B,A272,Orders!K:K))</f>
        <v/>
      </c>
    </row>
    <row r="273">
      <c r="I273" s="5">
        <f>IFERROR(IF(MAXIFS(Orders!E:E,Orders!B:B,A273)=0,"",MAXIFS(Orders!E:E,Orders!B:B,A273)),"")</f>
        <v/>
      </c>
      <c r="J273" s="5">
        <f>IF(A273="","",COUNTIF(Orders!B:B,A273))</f>
        <v/>
      </c>
      <c r="K273" s="5">
        <f>IF(A273="","",SUMIF(Orders!B:B,A273,Orders!K:K))</f>
        <v/>
      </c>
    </row>
    <row r="274">
      <c r="I274" s="5">
        <f>IFERROR(IF(MAXIFS(Orders!E:E,Orders!B:B,A274)=0,"",MAXIFS(Orders!E:E,Orders!B:B,A274)),"")</f>
        <v/>
      </c>
      <c r="J274" s="5">
        <f>IF(A274="","",COUNTIF(Orders!B:B,A274))</f>
        <v/>
      </c>
      <c r="K274" s="5">
        <f>IF(A274="","",SUMIF(Orders!B:B,A274,Orders!K:K))</f>
        <v/>
      </c>
    </row>
    <row r="275">
      <c r="I275" s="5">
        <f>IFERROR(IF(MAXIFS(Orders!E:E,Orders!B:B,A275)=0,"",MAXIFS(Orders!E:E,Orders!B:B,A275)),"")</f>
        <v/>
      </c>
      <c r="J275" s="5">
        <f>IF(A275="","",COUNTIF(Orders!B:B,A275))</f>
        <v/>
      </c>
      <c r="K275" s="5">
        <f>IF(A275="","",SUMIF(Orders!B:B,A275,Orders!K:K))</f>
        <v/>
      </c>
    </row>
    <row r="276">
      <c r="I276" s="5">
        <f>IFERROR(IF(MAXIFS(Orders!E:E,Orders!B:B,A276)=0,"",MAXIFS(Orders!E:E,Orders!B:B,A276)),"")</f>
        <v/>
      </c>
      <c r="J276" s="5">
        <f>IF(A276="","",COUNTIF(Orders!B:B,A276))</f>
        <v/>
      </c>
      <c r="K276" s="5">
        <f>IF(A276="","",SUMIF(Orders!B:B,A276,Orders!K:K))</f>
        <v/>
      </c>
    </row>
    <row r="277">
      <c r="I277" s="5">
        <f>IFERROR(IF(MAXIFS(Orders!E:E,Orders!B:B,A277)=0,"",MAXIFS(Orders!E:E,Orders!B:B,A277)),"")</f>
        <v/>
      </c>
      <c r="J277" s="5">
        <f>IF(A277="","",COUNTIF(Orders!B:B,A277))</f>
        <v/>
      </c>
      <c r="K277" s="5">
        <f>IF(A277="","",SUMIF(Orders!B:B,A277,Orders!K:K))</f>
        <v/>
      </c>
    </row>
    <row r="278">
      <c r="I278" s="5">
        <f>IFERROR(IF(MAXIFS(Orders!E:E,Orders!B:B,A278)=0,"",MAXIFS(Orders!E:E,Orders!B:B,A278)),"")</f>
        <v/>
      </c>
      <c r="J278" s="5">
        <f>IF(A278="","",COUNTIF(Orders!B:B,A278))</f>
        <v/>
      </c>
      <c r="K278" s="5">
        <f>IF(A278="","",SUMIF(Orders!B:B,A278,Orders!K:K))</f>
        <v/>
      </c>
    </row>
    <row r="279">
      <c r="I279" s="5">
        <f>IFERROR(IF(MAXIFS(Orders!E:E,Orders!B:B,A279)=0,"",MAXIFS(Orders!E:E,Orders!B:B,A279)),"")</f>
        <v/>
      </c>
      <c r="J279" s="5">
        <f>IF(A279="","",COUNTIF(Orders!B:B,A279))</f>
        <v/>
      </c>
      <c r="K279" s="5">
        <f>IF(A279="","",SUMIF(Orders!B:B,A279,Orders!K:K))</f>
        <v/>
      </c>
    </row>
    <row r="280">
      <c r="I280" s="5">
        <f>IFERROR(IF(MAXIFS(Orders!E:E,Orders!B:B,A280)=0,"",MAXIFS(Orders!E:E,Orders!B:B,A280)),"")</f>
        <v/>
      </c>
      <c r="J280" s="5">
        <f>IF(A280="","",COUNTIF(Orders!B:B,A280))</f>
        <v/>
      </c>
      <c r="K280" s="5">
        <f>IF(A280="","",SUMIF(Orders!B:B,A280,Orders!K:K))</f>
        <v/>
      </c>
    </row>
    <row r="281">
      <c r="I281" s="5">
        <f>IFERROR(IF(MAXIFS(Orders!E:E,Orders!B:B,A281)=0,"",MAXIFS(Orders!E:E,Orders!B:B,A281)),"")</f>
        <v/>
      </c>
      <c r="J281" s="5">
        <f>IF(A281="","",COUNTIF(Orders!B:B,A281))</f>
        <v/>
      </c>
      <c r="K281" s="5">
        <f>IF(A281="","",SUMIF(Orders!B:B,A281,Orders!K:K))</f>
        <v/>
      </c>
    </row>
    <row r="282">
      <c r="I282" s="5">
        <f>IFERROR(IF(MAXIFS(Orders!E:E,Orders!B:B,A282)=0,"",MAXIFS(Orders!E:E,Orders!B:B,A282)),"")</f>
        <v/>
      </c>
      <c r="J282" s="5">
        <f>IF(A282="","",COUNTIF(Orders!B:B,A282))</f>
        <v/>
      </c>
      <c r="K282" s="5">
        <f>IF(A282="","",SUMIF(Orders!B:B,A282,Orders!K:K))</f>
        <v/>
      </c>
    </row>
    <row r="283">
      <c r="I283" s="5">
        <f>IFERROR(IF(MAXIFS(Orders!E:E,Orders!B:B,A283)=0,"",MAXIFS(Orders!E:E,Orders!B:B,A283)),"")</f>
        <v/>
      </c>
      <c r="J283" s="5">
        <f>IF(A283="","",COUNTIF(Orders!B:B,A283))</f>
        <v/>
      </c>
      <c r="K283" s="5">
        <f>IF(A283="","",SUMIF(Orders!B:B,A283,Orders!K:K))</f>
        <v/>
      </c>
    </row>
    <row r="284">
      <c r="I284" s="5">
        <f>IFERROR(IF(MAXIFS(Orders!E:E,Orders!B:B,A284)=0,"",MAXIFS(Orders!E:E,Orders!B:B,A284)),"")</f>
        <v/>
      </c>
      <c r="J284" s="5">
        <f>IF(A284="","",COUNTIF(Orders!B:B,A284))</f>
        <v/>
      </c>
      <c r="K284" s="5">
        <f>IF(A284="","",SUMIF(Orders!B:B,A284,Orders!K:K))</f>
        <v/>
      </c>
    </row>
    <row r="285">
      <c r="I285" s="5">
        <f>IFERROR(IF(MAXIFS(Orders!E:E,Orders!B:B,A285)=0,"",MAXIFS(Orders!E:E,Orders!B:B,A285)),"")</f>
        <v/>
      </c>
      <c r="J285" s="5">
        <f>IF(A285="","",COUNTIF(Orders!B:B,A285))</f>
        <v/>
      </c>
      <c r="K285" s="5">
        <f>IF(A285="","",SUMIF(Orders!B:B,A285,Orders!K:K))</f>
        <v/>
      </c>
    </row>
    <row r="286">
      <c r="I286" s="5">
        <f>IFERROR(IF(MAXIFS(Orders!E:E,Orders!B:B,A286)=0,"",MAXIFS(Orders!E:E,Orders!B:B,A286)),"")</f>
        <v/>
      </c>
      <c r="J286" s="5">
        <f>IF(A286="","",COUNTIF(Orders!B:B,A286))</f>
        <v/>
      </c>
      <c r="K286" s="5">
        <f>IF(A286="","",SUMIF(Orders!B:B,A286,Orders!K:K))</f>
        <v/>
      </c>
    </row>
    <row r="287">
      <c r="I287" s="5">
        <f>IFERROR(IF(MAXIFS(Orders!E:E,Orders!B:B,A287)=0,"",MAXIFS(Orders!E:E,Orders!B:B,A287)),"")</f>
        <v/>
      </c>
      <c r="J287" s="5">
        <f>IF(A287="","",COUNTIF(Orders!B:B,A287))</f>
        <v/>
      </c>
      <c r="K287" s="5">
        <f>IF(A287="","",SUMIF(Orders!B:B,A287,Orders!K:K))</f>
        <v/>
      </c>
    </row>
    <row r="288">
      <c r="I288" s="5">
        <f>IFERROR(IF(MAXIFS(Orders!E:E,Orders!B:B,A288)=0,"",MAXIFS(Orders!E:E,Orders!B:B,A288)),"")</f>
        <v/>
      </c>
      <c r="J288" s="5">
        <f>IF(A288="","",COUNTIF(Orders!B:B,A288))</f>
        <v/>
      </c>
      <c r="K288" s="5">
        <f>IF(A288="","",SUMIF(Orders!B:B,A288,Orders!K:K))</f>
        <v/>
      </c>
    </row>
    <row r="289">
      <c r="I289" s="5">
        <f>IFERROR(IF(MAXIFS(Orders!E:E,Orders!B:B,A289)=0,"",MAXIFS(Orders!E:E,Orders!B:B,A289)),"")</f>
        <v/>
      </c>
      <c r="J289" s="5">
        <f>IF(A289="","",COUNTIF(Orders!B:B,A289))</f>
        <v/>
      </c>
      <c r="K289" s="5">
        <f>IF(A289="","",SUMIF(Orders!B:B,A289,Orders!K:K))</f>
        <v/>
      </c>
    </row>
    <row r="290">
      <c r="I290" s="5">
        <f>IFERROR(IF(MAXIFS(Orders!E:E,Orders!B:B,A290)=0,"",MAXIFS(Orders!E:E,Orders!B:B,A290)),"")</f>
        <v/>
      </c>
      <c r="J290" s="5">
        <f>IF(A290="","",COUNTIF(Orders!B:B,A290))</f>
        <v/>
      </c>
      <c r="K290" s="5">
        <f>IF(A290="","",SUMIF(Orders!B:B,A290,Orders!K:K))</f>
        <v/>
      </c>
    </row>
    <row r="291">
      <c r="I291" s="5">
        <f>IFERROR(IF(MAXIFS(Orders!E:E,Orders!B:B,A291)=0,"",MAXIFS(Orders!E:E,Orders!B:B,A291)),"")</f>
        <v/>
      </c>
      <c r="J291" s="5">
        <f>IF(A291="","",COUNTIF(Orders!B:B,A291))</f>
        <v/>
      </c>
      <c r="K291" s="5">
        <f>IF(A291="","",SUMIF(Orders!B:B,A291,Orders!K:K))</f>
        <v/>
      </c>
    </row>
    <row r="292">
      <c r="I292" s="5">
        <f>IFERROR(IF(MAXIFS(Orders!E:E,Orders!B:B,A292)=0,"",MAXIFS(Orders!E:E,Orders!B:B,A292)),"")</f>
        <v/>
      </c>
      <c r="J292" s="5">
        <f>IF(A292="","",COUNTIF(Orders!B:B,A292))</f>
        <v/>
      </c>
      <c r="K292" s="5">
        <f>IF(A292="","",SUMIF(Orders!B:B,A292,Orders!K:K))</f>
        <v/>
      </c>
    </row>
    <row r="293">
      <c r="I293" s="5">
        <f>IFERROR(IF(MAXIFS(Orders!E:E,Orders!B:B,A293)=0,"",MAXIFS(Orders!E:E,Orders!B:B,A293)),"")</f>
        <v/>
      </c>
      <c r="J293" s="5">
        <f>IF(A293="","",COUNTIF(Orders!B:B,A293))</f>
        <v/>
      </c>
      <c r="K293" s="5">
        <f>IF(A293="","",SUMIF(Orders!B:B,A293,Orders!K:K))</f>
        <v/>
      </c>
    </row>
    <row r="294">
      <c r="I294" s="5">
        <f>IFERROR(IF(MAXIFS(Orders!E:E,Orders!B:B,A294)=0,"",MAXIFS(Orders!E:E,Orders!B:B,A294)),"")</f>
        <v/>
      </c>
      <c r="J294" s="5">
        <f>IF(A294="","",COUNTIF(Orders!B:B,A294))</f>
        <v/>
      </c>
      <c r="K294" s="5">
        <f>IF(A294="","",SUMIF(Orders!B:B,A294,Orders!K:K))</f>
        <v/>
      </c>
    </row>
    <row r="295">
      <c r="I295" s="5">
        <f>IFERROR(IF(MAXIFS(Orders!E:E,Orders!B:B,A295)=0,"",MAXIFS(Orders!E:E,Orders!B:B,A295)),"")</f>
        <v/>
      </c>
      <c r="J295" s="5">
        <f>IF(A295="","",COUNTIF(Orders!B:B,A295))</f>
        <v/>
      </c>
      <c r="K295" s="5">
        <f>IF(A295="","",SUMIF(Orders!B:B,A295,Orders!K:K))</f>
        <v/>
      </c>
    </row>
    <row r="296">
      <c r="I296" s="5">
        <f>IFERROR(IF(MAXIFS(Orders!E:E,Orders!B:B,A296)=0,"",MAXIFS(Orders!E:E,Orders!B:B,A296)),"")</f>
        <v/>
      </c>
      <c r="J296" s="5">
        <f>IF(A296="","",COUNTIF(Orders!B:B,A296))</f>
        <v/>
      </c>
      <c r="K296" s="5">
        <f>IF(A296="","",SUMIF(Orders!B:B,A296,Orders!K:K))</f>
        <v/>
      </c>
    </row>
    <row r="297">
      <c r="I297" s="5">
        <f>IFERROR(IF(MAXIFS(Orders!E:E,Orders!B:B,A297)=0,"",MAXIFS(Orders!E:E,Orders!B:B,A297)),"")</f>
        <v/>
      </c>
      <c r="J297" s="5">
        <f>IF(A297="","",COUNTIF(Orders!B:B,A297))</f>
        <v/>
      </c>
      <c r="K297" s="5">
        <f>IF(A297="","",SUMIF(Orders!B:B,A297,Orders!K:K))</f>
        <v/>
      </c>
    </row>
    <row r="298">
      <c r="I298" s="5">
        <f>IFERROR(IF(MAXIFS(Orders!E:E,Orders!B:B,A298)=0,"",MAXIFS(Orders!E:E,Orders!B:B,A298)),"")</f>
        <v/>
      </c>
      <c r="J298" s="5">
        <f>IF(A298="","",COUNTIF(Orders!B:B,A298))</f>
        <v/>
      </c>
      <c r="K298" s="5">
        <f>IF(A298="","",SUMIF(Orders!B:B,A298,Orders!K:K))</f>
        <v/>
      </c>
    </row>
    <row r="299">
      <c r="I299" s="5">
        <f>IFERROR(IF(MAXIFS(Orders!E:E,Orders!B:B,A299)=0,"",MAXIFS(Orders!E:E,Orders!B:B,A299)),"")</f>
        <v/>
      </c>
      <c r="J299" s="5">
        <f>IF(A299="","",COUNTIF(Orders!B:B,A299))</f>
        <v/>
      </c>
      <c r="K299" s="5">
        <f>IF(A299="","",SUMIF(Orders!B:B,A299,Orders!K:K))</f>
        <v/>
      </c>
    </row>
    <row r="300">
      <c r="I300" s="5">
        <f>IFERROR(IF(MAXIFS(Orders!E:E,Orders!B:B,A300)=0,"",MAXIFS(Orders!E:E,Orders!B:B,A300)),"")</f>
        <v/>
      </c>
      <c r="J300" s="5">
        <f>IF(A300="","",COUNTIF(Orders!B:B,A300))</f>
        <v/>
      </c>
      <c r="K300" s="5">
        <f>IF(A300="","",SUMIF(Orders!B:B,A300,Orders!K:K))</f>
        <v/>
      </c>
    </row>
    <row r="301">
      <c r="I301" s="5">
        <f>IFERROR(IF(MAXIFS(Orders!E:E,Orders!B:B,A301)=0,"",MAXIFS(Orders!E:E,Orders!B:B,A301)),"")</f>
        <v/>
      </c>
      <c r="J301" s="5">
        <f>IF(A301="","",COUNTIF(Orders!B:B,A301))</f>
        <v/>
      </c>
      <c r="K301" s="5">
        <f>IF(A301="","",SUMIF(Orders!B:B,A301,Orders!K:K))</f>
        <v/>
      </c>
    </row>
    <row r="302">
      <c r="I302" s="5">
        <f>IFERROR(IF(MAXIFS(Orders!E:E,Orders!B:B,A302)=0,"",MAXIFS(Orders!E:E,Orders!B:B,A302)),"")</f>
        <v/>
      </c>
      <c r="J302" s="5">
        <f>IF(A302="","",COUNTIF(Orders!B:B,A302))</f>
        <v/>
      </c>
      <c r="K302" s="5">
        <f>IF(A302="","",SUMIF(Orders!B:B,A302,Orders!K:K))</f>
        <v/>
      </c>
    </row>
    <row r="303">
      <c r="I303" s="5">
        <f>IFERROR(IF(MAXIFS(Orders!E:E,Orders!B:B,A303)=0,"",MAXIFS(Orders!E:E,Orders!B:B,A303)),"")</f>
        <v/>
      </c>
      <c r="J303" s="5">
        <f>IF(A303="","",COUNTIF(Orders!B:B,A303))</f>
        <v/>
      </c>
      <c r="K303" s="5">
        <f>IF(A303="","",SUMIF(Orders!B:B,A303,Orders!K:K))</f>
        <v/>
      </c>
    </row>
    <row r="304">
      <c r="I304" s="5">
        <f>IFERROR(IF(MAXIFS(Orders!E:E,Orders!B:B,A304)=0,"",MAXIFS(Orders!E:E,Orders!B:B,A304)),"")</f>
        <v/>
      </c>
      <c r="J304" s="5">
        <f>IF(A304="","",COUNTIF(Orders!B:B,A304))</f>
        <v/>
      </c>
      <c r="K304" s="5">
        <f>IF(A304="","",SUMIF(Orders!B:B,A304,Orders!K:K))</f>
        <v/>
      </c>
    </row>
    <row r="305">
      <c r="I305" s="5">
        <f>IFERROR(IF(MAXIFS(Orders!E:E,Orders!B:B,A305)=0,"",MAXIFS(Orders!E:E,Orders!B:B,A305)),"")</f>
        <v/>
      </c>
      <c r="J305" s="5">
        <f>IF(A305="","",COUNTIF(Orders!B:B,A305))</f>
        <v/>
      </c>
      <c r="K305" s="5">
        <f>IF(A305="","",SUMIF(Orders!B:B,A305,Orders!K:K))</f>
        <v/>
      </c>
    </row>
    <row r="306">
      <c r="I306" s="5">
        <f>IFERROR(IF(MAXIFS(Orders!E:E,Orders!B:B,A306)=0,"",MAXIFS(Orders!E:E,Orders!B:B,A306)),"")</f>
        <v/>
      </c>
      <c r="J306" s="5">
        <f>IF(A306="","",COUNTIF(Orders!B:B,A306))</f>
        <v/>
      </c>
      <c r="K306" s="5">
        <f>IF(A306="","",SUMIF(Orders!B:B,A306,Orders!K:K))</f>
        <v/>
      </c>
    </row>
    <row r="307">
      <c r="I307" s="5">
        <f>IFERROR(IF(MAXIFS(Orders!E:E,Orders!B:B,A307)=0,"",MAXIFS(Orders!E:E,Orders!B:B,A307)),"")</f>
        <v/>
      </c>
      <c r="J307" s="5">
        <f>IF(A307="","",COUNTIF(Orders!B:B,A307))</f>
        <v/>
      </c>
      <c r="K307" s="5">
        <f>IF(A307="","",SUMIF(Orders!B:B,A307,Orders!K:K))</f>
        <v/>
      </c>
    </row>
    <row r="308">
      <c r="I308" s="5">
        <f>IFERROR(IF(MAXIFS(Orders!E:E,Orders!B:B,A308)=0,"",MAXIFS(Orders!E:E,Orders!B:B,A308)),"")</f>
        <v/>
      </c>
      <c r="J308" s="5">
        <f>IF(A308="","",COUNTIF(Orders!B:B,A308))</f>
        <v/>
      </c>
      <c r="K308" s="5">
        <f>IF(A308="","",SUMIF(Orders!B:B,A308,Orders!K:K))</f>
        <v/>
      </c>
    </row>
    <row r="309">
      <c r="I309" s="5">
        <f>IFERROR(IF(MAXIFS(Orders!E:E,Orders!B:B,A309)=0,"",MAXIFS(Orders!E:E,Orders!B:B,A309)),"")</f>
        <v/>
      </c>
      <c r="J309" s="5">
        <f>IF(A309="","",COUNTIF(Orders!B:B,A309))</f>
        <v/>
      </c>
      <c r="K309" s="5">
        <f>IF(A309="","",SUMIF(Orders!B:B,A309,Orders!K:K))</f>
        <v/>
      </c>
    </row>
    <row r="310">
      <c r="I310" s="5">
        <f>IFERROR(IF(MAXIFS(Orders!E:E,Orders!B:B,A310)=0,"",MAXIFS(Orders!E:E,Orders!B:B,A310)),"")</f>
        <v/>
      </c>
      <c r="J310" s="5">
        <f>IF(A310="","",COUNTIF(Orders!B:B,A310))</f>
        <v/>
      </c>
      <c r="K310" s="5">
        <f>IF(A310="","",SUMIF(Orders!B:B,A310,Orders!K:K))</f>
        <v/>
      </c>
    </row>
    <row r="311">
      <c r="I311" s="5">
        <f>IFERROR(IF(MAXIFS(Orders!E:E,Orders!B:B,A311)=0,"",MAXIFS(Orders!E:E,Orders!B:B,A311)),"")</f>
        <v/>
      </c>
      <c r="J311" s="5">
        <f>IF(A311="","",COUNTIF(Orders!B:B,A311))</f>
        <v/>
      </c>
      <c r="K311" s="5">
        <f>IF(A311="","",SUMIF(Orders!B:B,A311,Orders!K:K))</f>
        <v/>
      </c>
    </row>
    <row r="312">
      <c r="I312" s="5">
        <f>IFERROR(IF(MAXIFS(Orders!E:E,Orders!B:B,A312)=0,"",MAXIFS(Orders!E:E,Orders!B:B,A312)),"")</f>
        <v/>
      </c>
      <c r="J312" s="5">
        <f>IF(A312="","",COUNTIF(Orders!B:B,A312))</f>
        <v/>
      </c>
      <c r="K312" s="5">
        <f>IF(A312="","",SUMIF(Orders!B:B,A312,Orders!K:K))</f>
        <v/>
      </c>
    </row>
    <row r="313">
      <c r="I313" s="5">
        <f>IFERROR(IF(MAXIFS(Orders!E:E,Orders!B:B,A313)=0,"",MAXIFS(Orders!E:E,Orders!B:B,A313)),"")</f>
        <v/>
      </c>
      <c r="J313" s="5">
        <f>IF(A313="","",COUNTIF(Orders!B:B,A313))</f>
        <v/>
      </c>
      <c r="K313" s="5">
        <f>IF(A313="","",SUMIF(Orders!B:B,A313,Orders!K:K))</f>
        <v/>
      </c>
    </row>
    <row r="314">
      <c r="I314" s="5">
        <f>IFERROR(IF(MAXIFS(Orders!E:E,Orders!B:B,A314)=0,"",MAXIFS(Orders!E:E,Orders!B:B,A314)),"")</f>
        <v/>
      </c>
      <c r="J314" s="5">
        <f>IF(A314="","",COUNTIF(Orders!B:B,A314))</f>
        <v/>
      </c>
      <c r="K314" s="5">
        <f>IF(A314="","",SUMIF(Orders!B:B,A314,Orders!K:K))</f>
        <v/>
      </c>
    </row>
    <row r="315">
      <c r="I315" s="5">
        <f>IFERROR(IF(MAXIFS(Orders!E:E,Orders!B:B,A315)=0,"",MAXIFS(Orders!E:E,Orders!B:B,A315)),"")</f>
        <v/>
      </c>
      <c r="J315" s="5">
        <f>IF(A315="","",COUNTIF(Orders!B:B,A315))</f>
        <v/>
      </c>
      <c r="K315" s="5">
        <f>IF(A315="","",SUMIF(Orders!B:B,A315,Orders!K:K))</f>
        <v/>
      </c>
    </row>
    <row r="316">
      <c r="I316" s="5">
        <f>IFERROR(IF(MAXIFS(Orders!E:E,Orders!B:B,A316)=0,"",MAXIFS(Orders!E:E,Orders!B:B,A316)),"")</f>
        <v/>
      </c>
      <c r="J316" s="5">
        <f>IF(A316="","",COUNTIF(Orders!B:B,A316))</f>
        <v/>
      </c>
      <c r="K316" s="5">
        <f>IF(A316="","",SUMIF(Orders!B:B,A316,Orders!K:K))</f>
        <v/>
      </c>
    </row>
    <row r="317">
      <c r="I317" s="5">
        <f>IFERROR(IF(MAXIFS(Orders!E:E,Orders!B:B,A317)=0,"",MAXIFS(Orders!E:E,Orders!B:B,A317)),"")</f>
        <v/>
      </c>
      <c r="J317" s="5">
        <f>IF(A317="","",COUNTIF(Orders!B:B,A317))</f>
        <v/>
      </c>
      <c r="K317" s="5">
        <f>IF(A317="","",SUMIF(Orders!B:B,A317,Orders!K:K))</f>
        <v/>
      </c>
    </row>
    <row r="318">
      <c r="I318" s="5">
        <f>IFERROR(IF(MAXIFS(Orders!E:E,Orders!B:B,A318)=0,"",MAXIFS(Orders!E:E,Orders!B:B,A318)),"")</f>
        <v/>
      </c>
      <c r="J318" s="5">
        <f>IF(A318="","",COUNTIF(Orders!B:B,A318))</f>
        <v/>
      </c>
      <c r="K318" s="5">
        <f>IF(A318="","",SUMIF(Orders!B:B,A318,Orders!K:K))</f>
        <v/>
      </c>
    </row>
    <row r="319">
      <c r="I319" s="5">
        <f>IFERROR(IF(MAXIFS(Orders!E:E,Orders!B:B,A319)=0,"",MAXIFS(Orders!E:E,Orders!B:B,A319)),"")</f>
        <v/>
      </c>
      <c r="J319" s="5">
        <f>IF(A319="","",COUNTIF(Orders!B:B,A319))</f>
        <v/>
      </c>
      <c r="K319" s="5">
        <f>IF(A319="","",SUMIF(Orders!B:B,A319,Orders!K:K))</f>
        <v/>
      </c>
    </row>
    <row r="320">
      <c r="I320" s="5">
        <f>IFERROR(IF(MAXIFS(Orders!E:E,Orders!B:B,A320)=0,"",MAXIFS(Orders!E:E,Orders!B:B,A320)),"")</f>
        <v/>
      </c>
      <c r="J320" s="5">
        <f>IF(A320="","",COUNTIF(Orders!B:B,A320))</f>
        <v/>
      </c>
      <c r="K320" s="5">
        <f>IF(A320="","",SUMIF(Orders!B:B,A320,Orders!K:K))</f>
        <v/>
      </c>
    </row>
    <row r="321">
      <c r="I321" s="5">
        <f>IFERROR(IF(MAXIFS(Orders!E:E,Orders!B:B,A321)=0,"",MAXIFS(Orders!E:E,Orders!B:B,A321)),"")</f>
        <v/>
      </c>
      <c r="J321" s="5">
        <f>IF(A321="","",COUNTIF(Orders!B:B,A321))</f>
        <v/>
      </c>
      <c r="K321" s="5">
        <f>IF(A321="","",SUMIF(Orders!B:B,A321,Orders!K:K))</f>
        <v/>
      </c>
    </row>
    <row r="322">
      <c r="I322" s="5">
        <f>IFERROR(IF(MAXIFS(Orders!E:E,Orders!B:B,A322)=0,"",MAXIFS(Orders!E:E,Orders!B:B,A322)),"")</f>
        <v/>
      </c>
      <c r="J322" s="5">
        <f>IF(A322="","",COUNTIF(Orders!B:B,A322))</f>
        <v/>
      </c>
      <c r="K322" s="5">
        <f>IF(A322="","",SUMIF(Orders!B:B,A322,Orders!K:K))</f>
        <v/>
      </c>
    </row>
    <row r="323">
      <c r="I323" s="5">
        <f>IFERROR(IF(MAXIFS(Orders!E:E,Orders!B:B,A323)=0,"",MAXIFS(Orders!E:E,Orders!B:B,A323)),"")</f>
        <v/>
      </c>
      <c r="J323" s="5">
        <f>IF(A323="","",COUNTIF(Orders!B:B,A323))</f>
        <v/>
      </c>
      <c r="K323" s="5">
        <f>IF(A323="","",SUMIF(Orders!B:B,A323,Orders!K:K))</f>
        <v/>
      </c>
    </row>
    <row r="324">
      <c r="I324" s="5">
        <f>IFERROR(IF(MAXIFS(Orders!E:E,Orders!B:B,A324)=0,"",MAXIFS(Orders!E:E,Orders!B:B,A324)),"")</f>
        <v/>
      </c>
      <c r="J324" s="5">
        <f>IF(A324="","",COUNTIF(Orders!B:B,A324))</f>
        <v/>
      </c>
      <c r="K324" s="5">
        <f>IF(A324="","",SUMIF(Orders!B:B,A324,Orders!K:K))</f>
        <v/>
      </c>
    </row>
    <row r="325">
      <c r="I325" s="5">
        <f>IFERROR(IF(MAXIFS(Orders!E:E,Orders!B:B,A325)=0,"",MAXIFS(Orders!E:E,Orders!B:B,A325)),"")</f>
        <v/>
      </c>
      <c r="J325" s="5">
        <f>IF(A325="","",COUNTIF(Orders!B:B,A325))</f>
        <v/>
      </c>
      <c r="K325" s="5">
        <f>IF(A325="","",SUMIF(Orders!B:B,A325,Orders!K:K))</f>
        <v/>
      </c>
    </row>
    <row r="326">
      <c r="I326" s="5">
        <f>IFERROR(IF(MAXIFS(Orders!E:E,Orders!B:B,A326)=0,"",MAXIFS(Orders!E:E,Orders!B:B,A326)),"")</f>
        <v/>
      </c>
      <c r="J326" s="5">
        <f>IF(A326="","",COUNTIF(Orders!B:B,A326))</f>
        <v/>
      </c>
      <c r="K326" s="5">
        <f>IF(A326="","",SUMIF(Orders!B:B,A326,Orders!K:K))</f>
        <v/>
      </c>
    </row>
    <row r="327">
      <c r="I327" s="5">
        <f>IFERROR(IF(MAXIFS(Orders!E:E,Orders!B:B,A327)=0,"",MAXIFS(Orders!E:E,Orders!B:B,A327)),"")</f>
        <v/>
      </c>
      <c r="J327" s="5">
        <f>IF(A327="","",COUNTIF(Orders!B:B,A327))</f>
        <v/>
      </c>
      <c r="K327" s="5">
        <f>IF(A327="","",SUMIF(Orders!B:B,A327,Orders!K:K))</f>
        <v/>
      </c>
    </row>
    <row r="328">
      <c r="I328" s="5">
        <f>IFERROR(IF(MAXIFS(Orders!E:E,Orders!B:B,A328)=0,"",MAXIFS(Orders!E:E,Orders!B:B,A328)),"")</f>
        <v/>
      </c>
      <c r="J328" s="5">
        <f>IF(A328="","",COUNTIF(Orders!B:B,A328))</f>
        <v/>
      </c>
      <c r="K328" s="5">
        <f>IF(A328="","",SUMIF(Orders!B:B,A328,Orders!K:K))</f>
        <v/>
      </c>
    </row>
    <row r="329">
      <c r="I329" s="5">
        <f>IFERROR(IF(MAXIFS(Orders!E:E,Orders!B:B,A329)=0,"",MAXIFS(Orders!E:E,Orders!B:B,A329)),"")</f>
        <v/>
      </c>
      <c r="J329" s="5">
        <f>IF(A329="","",COUNTIF(Orders!B:B,A329))</f>
        <v/>
      </c>
      <c r="K329" s="5">
        <f>IF(A329="","",SUMIF(Orders!B:B,A329,Orders!K:K))</f>
        <v/>
      </c>
    </row>
    <row r="330">
      <c r="I330" s="5">
        <f>IFERROR(IF(MAXIFS(Orders!E:E,Orders!B:B,A330)=0,"",MAXIFS(Orders!E:E,Orders!B:B,A330)),"")</f>
        <v/>
      </c>
      <c r="J330" s="5">
        <f>IF(A330="","",COUNTIF(Orders!B:B,A330))</f>
        <v/>
      </c>
      <c r="K330" s="5">
        <f>IF(A330="","",SUMIF(Orders!B:B,A330,Orders!K:K))</f>
        <v/>
      </c>
    </row>
    <row r="331">
      <c r="I331" s="5">
        <f>IFERROR(IF(MAXIFS(Orders!E:E,Orders!B:B,A331)=0,"",MAXIFS(Orders!E:E,Orders!B:B,A331)),"")</f>
        <v/>
      </c>
      <c r="J331" s="5">
        <f>IF(A331="","",COUNTIF(Orders!B:B,A331))</f>
        <v/>
      </c>
      <c r="K331" s="5">
        <f>IF(A331="","",SUMIF(Orders!B:B,A331,Orders!K:K))</f>
        <v/>
      </c>
    </row>
    <row r="332">
      <c r="I332" s="5">
        <f>IFERROR(IF(MAXIFS(Orders!E:E,Orders!B:B,A332)=0,"",MAXIFS(Orders!E:E,Orders!B:B,A332)),"")</f>
        <v/>
      </c>
      <c r="J332" s="5">
        <f>IF(A332="","",COUNTIF(Orders!B:B,A332))</f>
        <v/>
      </c>
      <c r="K332" s="5">
        <f>IF(A332="","",SUMIF(Orders!B:B,A332,Orders!K:K))</f>
        <v/>
      </c>
    </row>
    <row r="333">
      <c r="I333" s="5">
        <f>IFERROR(IF(MAXIFS(Orders!E:E,Orders!B:B,A333)=0,"",MAXIFS(Orders!E:E,Orders!B:B,A333)),"")</f>
        <v/>
      </c>
      <c r="J333" s="5">
        <f>IF(A333="","",COUNTIF(Orders!B:B,A333))</f>
        <v/>
      </c>
      <c r="K333" s="5">
        <f>IF(A333="","",SUMIF(Orders!B:B,A333,Orders!K:K))</f>
        <v/>
      </c>
    </row>
    <row r="334">
      <c r="I334" s="5">
        <f>IFERROR(IF(MAXIFS(Orders!E:E,Orders!B:B,A334)=0,"",MAXIFS(Orders!E:E,Orders!B:B,A334)),"")</f>
        <v/>
      </c>
      <c r="J334" s="5">
        <f>IF(A334="","",COUNTIF(Orders!B:B,A334))</f>
        <v/>
      </c>
      <c r="K334" s="5">
        <f>IF(A334="","",SUMIF(Orders!B:B,A334,Orders!K:K))</f>
        <v/>
      </c>
    </row>
    <row r="335">
      <c r="I335" s="5">
        <f>IFERROR(IF(MAXIFS(Orders!E:E,Orders!B:B,A335)=0,"",MAXIFS(Orders!E:E,Orders!B:B,A335)),"")</f>
        <v/>
      </c>
      <c r="J335" s="5">
        <f>IF(A335="","",COUNTIF(Orders!B:B,A335))</f>
        <v/>
      </c>
      <c r="K335" s="5">
        <f>IF(A335="","",SUMIF(Orders!B:B,A335,Orders!K:K))</f>
        <v/>
      </c>
    </row>
    <row r="336">
      <c r="I336" s="5">
        <f>IFERROR(IF(MAXIFS(Orders!E:E,Orders!B:B,A336)=0,"",MAXIFS(Orders!E:E,Orders!B:B,A336)),"")</f>
        <v/>
      </c>
      <c r="J336" s="5">
        <f>IF(A336="","",COUNTIF(Orders!B:B,A336))</f>
        <v/>
      </c>
      <c r="K336" s="5">
        <f>IF(A336="","",SUMIF(Orders!B:B,A336,Orders!K:K))</f>
        <v/>
      </c>
    </row>
    <row r="337">
      <c r="I337" s="5">
        <f>IFERROR(IF(MAXIFS(Orders!E:E,Orders!B:B,A337)=0,"",MAXIFS(Orders!E:E,Orders!B:B,A337)),"")</f>
        <v/>
      </c>
      <c r="J337" s="5">
        <f>IF(A337="","",COUNTIF(Orders!B:B,A337))</f>
        <v/>
      </c>
      <c r="K337" s="5">
        <f>IF(A337="","",SUMIF(Orders!B:B,A337,Orders!K:K))</f>
        <v/>
      </c>
    </row>
    <row r="338">
      <c r="I338" s="5">
        <f>IFERROR(IF(MAXIFS(Orders!E:E,Orders!B:B,A338)=0,"",MAXIFS(Orders!E:E,Orders!B:B,A338)),"")</f>
        <v/>
      </c>
      <c r="J338" s="5">
        <f>IF(A338="","",COUNTIF(Orders!B:B,A338))</f>
        <v/>
      </c>
      <c r="K338" s="5">
        <f>IF(A338="","",SUMIF(Orders!B:B,A338,Orders!K:K))</f>
        <v/>
      </c>
    </row>
    <row r="339">
      <c r="I339" s="5">
        <f>IFERROR(IF(MAXIFS(Orders!E:E,Orders!B:B,A339)=0,"",MAXIFS(Orders!E:E,Orders!B:B,A339)),"")</f>
        <v/>
      </c>
      <c r="J339" s="5">
        <f>IF(A339="","",COUNTIF(Orders!B:B,A339))</f>
        <v/>
      </c>
      <c r="K339" s="5">
        <f>IF(A339="","",SUMIF(Orders!B:B,A339,Orders!K:K))</f>
        <v/>
      </c>
    </row>
    <row r="340">
      <c r="I340" s="5">
        <f>IFERROR(IF(MAXIFS(Orders!E:E,Orders!B:B,A340)=0,"",MAXIFS(Orders!E:E,Orders!B:B,A340)),"")</f>
        <v/>
      </c>
      <c r="J340" s="5">
        <f>IF(A340="","",COUNTIF(Orders!B:B,A340))</f>
        <v/>
      </c>
      <c r="K340" s="5">
        <f>IF(A340="","",SUMIF(Orders!B:B,A340,Orders!K:K))</f>
        <v/>
      </c>
    </row>
    <row r="341">
      <c r="I341" s="5">
        <f>IFERROR(IF(MAXIFS(Orders!E:E,Orders!B:B,A341)=0,"",MAXIFS(Orders!E:E,Orders!B:B,A341)),"")</f>
        <v/>
      </c>
      <c r="J341" s="5">
        <f>IF(A341="","",COUNTIF(Orders!B:B,A341))</f>
        <v/>
      </c>
      <c r="K341" s="5">
        <f>IF(A341="","",SUMIF(Orders!B:B,A341,Orders!K:K))</f>
        <v/>
      </c>
    </row>
    <row r="342">
      <c r="I342" s="5">
        <f>IFERROR(IF(MAXIFS(Orders!E:E,Orders!B:B,A342)=0,"",MAXIFS(Orders!E:E,Orders!B:B,A342)),"")</f>
        <v/>
      </c>
      <c r="J342" s="5">
        <f>IF(A342="","",COUNTIF(Orders!B:B,A342))</f>
        <v/>
      </c>
      <c r="K342" s="5">
        <f>IF(A342="","",SUMIF(Orders!B:B,A342,Orders!K:K))</f>
        <v/>
      </c>
    </row>
    <row r="343">
      <c r="I343" s="5">
        <f>IFERROR(IF(MAXIFS(Orders!E:E,Orders!B:B,A343)=0,"",MAXIFS(Orders!E:E,Orders!B:B,A343)),"")</f>
        <v/>
      </c>
      <c r="J343" s="5">
        <f>IF(A343="","",COUNTIF(Orders!B:B,A343))</f>
        <v/>
      </c>
      <c r="K343" s="5">
        <f>IF(A343="","",SUMIF(Orders!B:B,A343,Orders!K:K))</f>
        <v/>
      </c>
    </row>
    <row r="344">
      <c r="I344" s="5">
        <f>IFERROR(IF(MAXIFS(Orders!E:E,Orders!B:B,A344)=0,"",MAXIFS(Orders!E:E,Orders!B:B,A344)),"")</f>
        <v/>
      </c>
      <c r="J344" s="5">
        <f>IF(A344="","",COUNTIF(Orders!B:B,A344))</f>
        <v/>
      </c>
      <c r="K344" s="5">
        <f>IF(A344="","",SUMIF(Orders!B:B,A344,Orders!K:K))</f>
        <v/>
      </c>
    </row>
    <row r="345">
      <c r="I345" s="5">
        <f>IFERROR(IF(MAXIFS(Orders!E:E,Orders!B:B,A345)=0,"",MAXIFS(Orders!E:E,Orders!B:B,A345)),"")</f>
        <v/>
      </c>
      <c r="J345" s="5">
        <f>IF(A345="","",COUNTIF(Orders!B:B,A345))</f>
        <v/>
      </c>
      <c r="K345" s="5">
        <f>IF(A345="","",SUMIF(Orders!B:B,A345,Orders!K:K))</f>
        <v/>
      </c>
    </row>
    <row r="346">
      <c r="I346" s="5">
        <f>IFERROR(IF(MAXIFS(Orders!E:E,Orders!B:B,A346)=0,"",MAXIFS(Orders!E:E,Orders!B:B,A346)),"")</f>
        <v/>
      </c>
      <c r="J346" s="5">
        <f>IF(A346="","",COUNTIF(Orders!B:B,A346))</f>
        <v/>
      </c>
      <c r="K346" s="5">
        <f>IF(A346="","",SUMIF(Orders!B:B,A346,Orders!K:K))</f>
        <v/>
      </c>
    </row>
    <row r="347">
      <c r="I347" s="5">
        <f>IFERROR(IF(MAXIFS(Orders!E:E,Orders!B:B,A347)=0,"",MAXIFS(Orders!E:E,Orders!B:B,A347)),"")</f>
        <v/>
      </c>
      <c r="J347" s="5">
        <f>IF(A347="","",COUNTIF(Orders!B:B,A347))</f>
        <v/>
      </c>
      <c r="K347" s="5">
        <f>IF(A347="","",SUMIF(Orders!B:B,A347,Orders!K:K))</f>
        <v/>
      </c>
    </row>
    <row r="348">
      <c r="I348" s="5">
        <f>IFERROR(IF(MAXIFS(Orders!E:E,Orders!B:B,A348)=0,"",MAXIFS(Orders!E:E,Orders!B:B,A348)),"")</f>
        <v/>
      </c>
      <c r="J348" s="5">
        <f>IF(A348="","",COUNTIF(Orders!B:B,A348))</f>
        <v/>
      </c>
      <c r="K348" s="5">
        <f>IF(A348="","",SUMIF(Orders!B:B,A348,Orders!K:K))</f>
        <v/>
      </c>
    </row>
    <row r="349">
      <c r="I349" s="5">
        <f>IFERROR(IF(MAXIFS(Orders!E:E,Orders!B:B,A349)=0,"",MAXIFS(Orders!E:E,Orders!B:B,A349)),"")</f>
        <v/>
      </c>
      <c r="J349" s="5">
        <f>IF(A349="","",COUNTIF(Orders!B:B,A349))</f>
        <v/>
      </c>
      <c r="K349" s="5">
        <f>IF(A349="","",SUMIF(Orders!B:B,A349,Orders!K:K))</f>
        <v/>
      </c>
    </row>
    <row r="350">
      <c r="I350" s="5">
        <f>IFERROR(IF(MAXIFS(Orders!E:E,Orders!B:B,A350)=0,"",MAXIFS(Orders!E:E,Orders!B:B,A350)),"")</f>
        <v/>
      </c>
      <c r="J350" s="5">
        <f>IF(A350="","",COUNTIF(Orders!B:B,A350))</f>
        <v/>
      </c>
      <c r="K350" s="5">
        <f>IF(A350="","",SUMIF(Orders!B:B,A350,Orders!K:K))</f>
        <v/>
      </c>
    </row>
    <row r="351">
      <c r="I351" s="5">
        <f>IFERROR(IF(MAXIFS(Orders!E:E,Orders!B:B,A351)=0,"",MAXIFS(Orders!E:E,Orders!B:B,A351)),"")</f>
        <v/>
      </c>
      <c r="J351" s="5">
        <f>IF(A351="","",COUNTIF(Orders!B:B,A351))</f>
        <v/>
      </c>
      <c r="K351" s="5">
        <f>IF(A351="","",SUMIF(Orders!B:B,A351,Orders!K:K))</f>
        <v/>
      </c>
    </row>
    <row r="352">
      <c r="I352" s="5">
        <f>IFERROR(IF(MAXIFS(Orders!E:E,Orders!B:B,A352)=0,"",MAXIFS(Orders!E:E,Orders!B:B,A352)),"")</f>
        <v/>
      </c>
      <c r="J352" s="5">
        <f>IF(A352="","",COUNTIF(Orders!B:B,A352))</f>
        <v/>
      </c>
      <c r="K352" s="5">
        <f>IF(A352="","",SUMIF(Orders!B:B,A352,Orders!K:K))</f>
        <v/>
      </c>
    </row>
    <row r="353">
      <c r="I353" s="5">
        <f>IFERROR(IF(MAXIFS(Orders!E:E,Orders!B:B,A353)=0,"",MAXIFS(Orders!E:E,Orders!B:B,A353)),"")</f>
        <v/>
      </c>
      <c r="J353" s="5">
        <f>IF(A353="","",COUNTIF(Orders!B:B,A353))</f>
        <v/>
      </c>
      <c r="K353" s="5">
        <f>IF(A353="","",SUMIF(Orders!B:B,A353,Orders!K:K))</f>
        <v/>
      </c>
    </row>
    <row r="354">
      <c r="I354" s="5">
        <f>IFERROR(IF(MAXIFS(Orders!E:E,Orders!B:B,A354)=0,"",MAXIFS(Orders!E:E,Orders!B:B,A354)),"")</f>
        <v/>
      </c>
      <c r="J354" s="5">
        <f>IF(A354="","",COUNTIF(Orders!B:B,A354))</f>
        <v/>
      </c>
      <c r="K354" s="5">
        <f>IF(A354="","",SUMIF(Orders!B:B,A354,Orders!K:K))</f>
        <v/>
      </c>
    </row>
    <row r="355">
      <c r="I355" s="5">
        <f>IFERROR(IF(MAXIFS(Orders!E:E,Orders!B:B,A355)=0,"",MAXIFS(Orders!E:E,Orders!B:B,A355)),"")</f>
        <v/>
      </c>
      <c r="J355" s="5">
        <f>IF(A355="","",COUNTIF(Orders!B:B,A355))</f>
        <v/>
      </c>
      <c r="K355" s="5">
        <f>IF(A355="","",SUMIF(Orders!B:B,A355,Orders!K:K))</f>
        <v/>
      </c>
    </row>
    <row r="356">
      <c r="I356" s="5">
        <f>IFERROR(IF(MAXIFS(Orders!E:E,Orders!B:B,A356)=0,"",MAXIFS(Orders!E:E,Orders!B:B,A356)),"")</f>
        <v/>
      </c>
      <c r="J356" s="5">
        <f>IF(A356="","",COUNTIF(Orders!B:B,A356))</f>
        <v/>
      </c>
      <c r="K356" s="5">
        <f>IF(A356="","",SUMIF(Orders!B:B,A356,Orders!K:K))</f>
        <v/>
      </c>
    </row>
    <row r="357">
      <c r="I357" s="5">
        <f>IFERROR(IF(MAXIFS(Orders!E:E,Orders!B:B,A357)=0,"",MAXIFS(Orders!E:E,Orders!B:B,A357)),"")</f>
        <v/>
      </c>
      <c r="J357" s="5">
        <f>IF(A357="","",COUNTIF(Orders!B:B,A357))</f>
        <v/>
      </c>
      <c r="K357" s="5">
        <f>IF(A357="","",SUMIF(Orders!B:B,A357,Orders!K:K))</f>
        <v/>
      </c>
    </row>
    <row r="358">
      <c r="I358" s="5">
        <f>IFERROR(IF(MAXIFS(Orders!E:E,Orders!B:B,A358)=0,"",MAXIFS(Orders!E:E,Orders!B:B,A358)),"")</f>
        <v/>
      </c>
      <c r="J358" s="5">
        <f>IF(A358="","",COUNTIF(Orders!B:B,A358))</f>
        <v/>
      </c>
      <c r="K358" s="5">
        <f>IF(A358="","",SUMIF(Orders!B:B,A358,Orders!K:K))</f>
        <v/>
      </c>
    </row>
    <row r="359">
      <c r="I359" s="5">
        <f>IFERROR(IF(MAXIFS(Orders!E:E,Orders!B:B,A359)=0,"",MAXIFS(Orders!E:E,Orders!B:B,A359)),"")</f>
        <v/>
      </c>
      <c r="J359" s="5">
        <f>IF(A359="","",COUNTIF(Orders!B:B,A359))</f>
        <v/>
      </c>
      <c r="K359" s="5">
        <f>IF(A359="","",SUMIF(Orders!B:B,A359,Orders!K:K))</f>
        <v/>
      </c>
    </row>
    <row r="360">
      <c r="I360" s="5">
        <f>IFERROR(IF(MAXIFS(Orders!E:E,Orders!B:B,A360)=0,"",MAXIFS(Orders!E:E,Orders!B:B,A360)),"")</f>
        <v/>
      </c>
      <c r="J360" s="5">
        <f>IF(A360="","",COUNTIF(Orders!B:B,A360))</f>
        <v/>
      </c>
      <c r="K360" s="5">
        <f>IF(A360="","",SUMIF(Orders!B:B,A360,Orders!K:K))</f>
        <v/>
      </c>
    </row>
    <row r="361">
      <c r="I361" s="5">
        <f>IFERROR(IF(MAXIFS(Orders!E:E,Orders!B:B,A361)=0,"",MAXIFS(Orders!E:E,Orders!B:B,A361)),"")</f>
        <v/>
      </c>
      <c r="J361" s="5">
        <f>IF(A361="","",COUNTIF(Orders!B:B,A361))</f>
        <v/>
      </c>
      <c r="K361" s="5">
        <f>IF(A361="","",SUMIF(Orders!B:B,A361,Orders!K:K))</f>
        <v/>
      </c>
    </row>
    <row r="362">
      <c r="I362" s="5">
        <f>IFERROR(IF(MAXIFS(Orders!E:E,Orders!B:B,A362)=0,"",MAXIFS(Orders!E:E,Orders!B:B,A362)),"")</f>
        <v/>
      </c>
      <c r="J362" s="5">
        <f>IF(A362="","",COUNTIF(Orders!B:B,A362))</f>
        <v/>
      </c>
      <c r="K362" s="5">
        <f>IF(A362="","",SUMIF(Orders!B:B,A362,Orders!K:K))</f>
        <v/>
      </c>
    </row>
    <row r="363">
      <c r="I363" s="5">
        <f>IFERROR(IF(MAXIFS(Orders!E:E,Orders!B:B,A363)=0,"",MAXIFS(Orders!E:E,Orders!B:B,A363)),"")</f>
        <v/>
      </c>
      <c r="J363" s="5">
        <f>IF(A363="","",COUNTIF(Orders!B:B,A363))</f>
        <v/>
      </c>
      <c r="K363" s="5">
        <f>IF(A363="","",SUMIF(Orders!B:B,A363,Orders!K:K))</f>
        <v/>
      </c>
    </row>
    <row r="364">
      <c r="I364" s="5">
        <f>IFERROR(IF(MAXIFS(Orders!E:E,Orders!B:B,A364)=0,"",MAXIFS(Orders!E:E,Orders!B:B,A364)),"")</f>
        <v/>
      </c>
      <c r="J364" s="5">
        <f>IF(A364="","",COUNTIF(Orders!B:B,A364))</f>
        <v/>
      </c>
      <c r="K364" s="5">
        <f>IF(A364="","",SUMIF(Orders!B:B,A364,Orders!K:K))</f>
        <v/>
      </c>
    </row>
    <row r="365">
      <c r="I365" s="5">
        <f>IFERROR(IF(MAXIFS(Orders!E:E,Orders!B:B,A365)=0,"",MAXIFS(Orders!E:E,Orders!B:B,A365)),"")</f>
        <v/>
      </c>
      <c r="J365" s="5">
        <f>IF(A365="","",COUNTIF(Orders!B:B,A365))</f>
        <v/>
      </c>
      <c r="K365" s="5">
        <f>IF(A365="","",SUMIF(Orders!B:B,A365,Orders!K:K))</f>
        <v/>
      </c>
    </row>
    <row r="366">
      <c r="I366" s="5">
        <f>IFERROR(IF(MAXIFS(Orders!E:E,Orders!B:B,A366)=0,"",MAXIFS(Orders!E:E,Orders!B:B,A366)),"")</f>
        <v/>
      </c>
      <c r="J366" s="5">
        <f>IF(A366="","",COUNTIF(Orders!B:B,A366))</f>
        <v/>
      </c>
      <c r="K366" s="5">
        <f>IF(A366="","",SUMIF(Orders!B:B,A366,Orders!K:K))</f>
        <v/>
      </c>
    </row>
    <row r="367">
      <c r="I367" s="5">
        <f>IFERROR(IF(MAXIFS(Orders!E:E,Orders!B:B,A367)=0,"",MAXIFS(Orders!E:E,Orders!B:B,A367)),"")</f>
        <v/>
      </c>
      <c r="J367" s="5">
        <f>IF(A367="","",COUNTIF(Orders!B:B,A367))</f>
        <v/>
      </c>
      <c r="K367" s="5">
        <f>IF(A367="","",SUMIF(Orders!B:B,A367,Orders!K:K))</f>
        <v/>
      </c>
    </row>
    <row r="368">
      <c r="I368" s="5">
        <f>IFERROR(IF(MAXIFS(Orders!E:E,Orders!B:B,A368)=0,"",MAXIFS(Orders!E:E,Orders!B:B,A368)),"")</f>
        <v/>
      </c>
      <c r="J368" s="5">
        <f>IF(A368="","",COUNTIF(Orders!B:B,A368))</f>
        <v/>
      </c>
      <c r="K368" s="5">
        <f>IF(A368="","",SUMIF(Orders!B:B,A368,Orders!K:K))</f>
        <v/>
      </c>
    </row>
    <row r="369">
      <c r="I369" s="5">
        <f>IFERROR(IF(MAXIFS(Orders!E:E,Orders!B:B,A369)=0,"",MAXIFS(Orders!E:E,Orders!B:B,A369)),"")</f>
        <v/>
      </c>
      <c r="J369" s="5">
        <f>IF(A369="","",COUNTIF(Orders!B:B,A369))</f>
        <v/>
      </c>
      <c r="K369" s="5">
        <f>IF(A369="","",SUMIF(Orders!B:B,A369,Orders!K:K))</f>
        <v/>
      </c>
    </row>
    <row r="370">
      <c r="I370" s="5">
        <f>IFERROR(IF(MAXIFS(Orders!E:E,Orders!B:B,A370)=0,"",MAXIFS(Orders!E:E,Orders!B:B,A370)),"")</f>
        <v/>
      </c>
      <c r="J370" s="5">
        <f>IF(A370="","",COUNTIF(Orders!B:B,A370))</f>
        <v/>
      </c>
      <c r="K370" s="5">
        <f>IF(A370="","",SUMIF(Orders!B:B,A370,Orders!K:K))</f>
        <v/>
      </c>
    </row>
    <row r="371">
      <c r="I371" s="5">
        <f>IFERROR(IF(MAXIFS(Orders!E:E,Orders!B:B,A371)=0,"",MAXIFS(Orders!E:E,Orders!B:B,A371)),"")</f>
        <v/>
      </c>
      <c r="J371" s="5">
        <f>IF(A371="","",COUNTIF(Orders!B:B,A371))</f>
        <v/>
      </c>
      <c r="K371" s="5">
        <f>IF(A371="","",SUMIF(Orders!B:B,A371,Orders!K:K))</f>
        <v/>
      </c>
    </row>
    <row r="372">
      <c r="I372" s="5">
        <f>IFERROR(IF(MAXIFS(Orders!E:E,Orders!B:B,A372)=0,"",MAXIFS(Orders!E:E,Orders!B:B,A372)),"")</f>
        <v/>
      </c>
      <c r="J372" s="5">
        <f>IF(A372="","",COUNTIF(Orders!B:B,A372))</f>
        <v/>
      </c>
      <c r="K372" s="5">
        <f>IF(A372="","",SUMIF(Orders!B:B,A372,Orders!K:K))</f>
        <v/>
      </c>
    </row>
    <row r="373">
      <c r="I373" s="5">
        <f>IFERROR(IF(MAXIFS(Orders!E:E,Orders!B:B,A373)=0,"",MAXIFS(Orders!E:E,Orders!B:B,A373)),"")</f>
        <v/>
      </c>
      <c r="J373" s="5">
        <f>IF(A373="","",COUNTIF(Orders!B:B,A373))</f>
        <v/>
      </c>
      <c r="K373" s="5">
        <f>IF(A373="","",SUMIF(Orders!B:B,A373,Orders!K:K))</f>
        <v/>
      </c>
    </row>
    <row r="374">
      <c r="I374" s="5">
        <f>IFERROR(IF(MAXIFS(Orders!E:E,Orders!B:B,A374)=0,"",MAXIFS(Orders!E:E,Orders!B:B,A374)),"")</f>
        <v/>
      </c>
      <c r="J374" s="5">
        <f>IF(A374="","",COUNTIF(Orders!B:B,A374))</f>
        <v/>
      </c>
      <c r="K374" s="5">
        <f>IF(A374="","",SUMIF(Orders!B:B,A374,Orders!K:K))</f>
        <v/>
      </c>
    </row>
    <row r="375">
      <c r="I375" s="5">
        <f>IFERROR(IF(MAXIFS(Orders!E:E,Orders!B:B,A375)=0,"",MAXIFS(Orders!E:E,Orders!B:B,A375)),"")</f>
        <v/>
      </c>
      <c r="J375" s="5">
        <f>IF(A375="","",COUNTIF(Orders!B:B,A375))</f>
        <v/>
      </c>
      <c r="K375" s="5">
        <f>IF(A375="","",SUMIF(Orders!B:B,A375,Orders!K:K))</f>
        <v/>
      </c>
    </row>
    <row r="376">
      <c r="I376" s="5">
        <f>IFERROR(IF(MAXIFS(Orders!E:E,Orders!B:B,A376)=0,"",MAXIFS(Orders!E:E,Orders!B:B,A376)),"")</f>
        <v/>
      </c>
      <c r="J376" s="5">
        <f>IF(A376="","",COUNTIF(Orders!B:B,A376))</f>
        <v/>
      </c>
      <c r="K376" s="5">
        <f>IF(A376="","",SUMIF(Orders!B:B,A376,Orders!K:K))</f>
        <v/>
      </c>
    </row>
    <row r="377">
      <c r="I377" s="5">
        <f>IFERROR(IF(MAXIFS(Orders!E:E,Orders!B:B,A377)=0,"",MAXIFS(Orders!E:E,Orders!B:B,A377)),"")</f>
        <v/>
      </c>
      <c r="J377" s="5">
        <f>IF(A377="","",COUNTIF(Orders!B:B,A377))</f>
        <v/>
      </c>
      <c r="K377" s="5">
        <f>IF(A377="","",SUMIF(Orders!B:B,A377,Orders!K:K))</f>
        <v/>
      </c>
    </row>
    <row r="378">
      <c r="I378" s="5">
        <f>IFERROR(IF(MAXIFS(Orders!E:E,Orders!B:B,A378)=0,"",MAXIFS(Orders!E:E,Orders!B:B,A378)),"")</f>
        <v/>
      </c>
      <c r="J378" s="5">
        <f>IF(A378="","",COUNTIF(Orders!B:B,A378))</f>
        <v/>
      </c>
      <c r="K378" s="5">
        <f>IF(A378="","",SUMIF(Orders!B:B,A378,Orders!K:K))</f>
        <v/>
      </c>
    </row>
    <row r="379">
      <c r="I379" s="5">
        <f>IFERROR(IF(MAXIFS(Orders!E:E,Orders!B:B,A379)=0,"",MAXIFS(Orders!E:E,Orders!B:B,A379)),"")</f>
        <v/>
      </c>
      <c r="J379" s="5">
        <f>IF(A379="","",COUNTIF(Orders!B:B,A379))</f>
        <v/>
      </c>
      <c r="K379" s="5">
        <f>IF(A379="","",SUMIF(Orders!B:B,A379,Orders!K:K))</f>
        <v/>
      </c>
    </row>
    <row r="380">
      <c r="I380" s="5">
        <f>IFERROR(IF(MAXIFS(Orders!E:E,Orders!B:B,A380)=0,"",MAXIFS(Orders!E:E,Orders!B:B,A380)),"")</f>
        <v/>
      </c>
      <c r="J380" s="5">
        <f>IF(A380="","",COUNTIF(Orders!B:B,A380))</f>
        <v/>
      </c>
      <c r="K380" s="5">
        <f>IF(A380="","",SUMIF(Orders!B:B,A380,Orders!K:K))</f>
        <v/>
      </c>
    </row>
    <row r="381">
      <c r="I381" s="5">
        <f>IFERROR(IF(MAXIFS(Orders!E:E,Orders!B:B,A381)=0,"",MAXIFS(Orders!E:E,Orders!B:B,A381)),"")</f>
        <v/>
      </c>
      <c r="J381" s="5">
        <f>IF(A381="","",COUNTIF(Orders!B:B,A381))</f>
        <v/>
      </c>
      <c r="K381" s="5">
        <f>IF(A381="","",SUMIF(Orders!B:B,A381,Orders!K:K))</f>
        <v/>
      </c>
    </row>
    <row r="382">
      <c r="I382" s="5">
        <f>IFERROR(IF(MAXIFS(Orders!E:E,Orders!B:B,A382)=0,"",MAXIFS(Orders!E:E,Orders!B:B,A382)),"")</f>
        <v/>
      </c>
      <c r="J382" s="5">
        <f>IF(A382="","",COUNTIF(Orders!B:B,A382))</f>
        <v/>
      </c>
      <c r="K382" s="5">
        <f>IF(A382="","",SUMIF(Orders!B:B,A382,Orders!K:K))</f>
        <v/>
      </c>
    </row>
    <row r="383">
      <c r="I383" s="5">
        <f>IFERROR(IF(MAXIFS(Orders!E:E,Orders!B:B,A383)=0,"",MAXIFS(Orders!E:E,Orders!B:B,A383)),"")</f>
        <v/>
      </c>
      <c r="J383" s="5">
        <f>IF(A383="","",COUNTIF(Orders!B:B,A383))</f>
        <v/>
      </c>
      <c r="K383" s="5">
        <f>IF(A383="","",SUMIF(Orders!B:B,A383,Orders!K:K))</f>
        <v/>
      </c>
    </row>
    <row r="384">
      <c r="I384" s="5">
        <f>IFERROR(IF(MAXIFS(Orders!E:E,Orders!B:B,A384)=0,"",MAXIFS(Orders!E:E,Orders!B:B,A384)),"")</f>
        <v/>
      </c>
      <c r="J384" s="5">
        <f>IF(A384="","",COUNTIF(Orders!B:B,A384))</f>
        <v/>
      </c>
      <c r="K384" s="5">
        <f>IF(A384="","",SUMIF(Orders!B:B,A384,Orders!K:K))</f>
        <v/>
      </c>
    </row>
    <row r="385">
      <c r="I385" s="5">
        <f>IFERROR(IF(MAXIFS(Orders!E:E,Orders!B:B,A385)=0,"",MAXIFS(Orders!E:E,Orders!B:B,A385)),"")</f>
        <v/>
      </c>
      <c r="J385" s="5">
        <f>IF(A385="","",COUNTIF(Orders!B:B,A385))</f>
        <v/>
      </c>
      <c r="K385" s="5">
        <f>IF(A385="","",SUMIF(Orders!B:B,A385,Orders!K:K))</f>
        <v/>
      </c>
    </row>
    <row r="386">
      <c r="I386" s="5">
        <f>IFERROR(IF(MAXIFS(Orders!E:E,Orders!B:B,A386)=0,"",MAXIFS(Orders!E:E,Orders!B:B,A386)),"")</f>
        <v/>
      </c>
      <c r="J386" s="5">
        <f>IF(A386="","",COUNTIF(Orders!B:B,A386))</f>
        <v/>
      </c>
      <c r="K386" s="5">
        <f>IF(A386="","",SUMIF(Orders!B:B,A386,Orders!K:K))</f>
        <v/>
      </c>
    </row>
    <row r="387">
      <c r="I387" s="5">
        <f>IFERROR(IF(MAXIFS(Orders!E:E,Orders!B:B,A387)=0,"",MAXIFS(Orders!E:E,Orders!B:B,A387)),"")</f>
        <v/>
      </c>
      <c r="J387" s="5">
        <f>IF(A387="","",COUNTIF(Orders!B:B,A387))</f>
        <v/>
      </c>
      <c r="K387" s="5">
        <f>IF(A387="","",SUMIF(Orders!B:B,A387,Orders!K:K))</f>
        <v/>
      </c>
    </row>
    <row r="388">
      <c r="I388" s="5">
        <f>IFERROR(IF(MAXIFS(Orders!E:E,Orders!B:B,A388)=0,"",MAXIFS(Orders!E:E,Orders!B:B,A388)),"")</f>
        <v/>
      </c>
      <c r="J388" s="5">
        <f>IF(A388="","",COUNTIF(Orders!B:B,A388))</f>
        <v/>
      </c>
      <c r="K388" s="5">
        <f>IF(A388="","",SUMIF(Orders!B:B,A388,Orders!K:K))</f>
        <v/>
      </c>
    </row>
    <row r="389">
      <c r="I389" s="5">
        <f>IFERROR(IF(MAXIFS(Orders!E:E,Orders!B:B,A389)=0,"",MAXIFS(Orders!E:E,Orders!B:B,A389)),"")</f>
        <v/>
      </c>
      <c r="J389" s="5">
        <f>IF(A389="","",COUNTIF(Orders!B:B,A389))</f>
        <v/>
      </c>
      <c r="K389" s="5">
        <f>IF(A389="","",SUMIF(Orders!B:B,A389,Orders!K:K))</f>
        <v/>
      </c>
    </row>
    <row r="390">
      <c r="I390" s="5">
        <f>IFERROR(IF(MAXIFS(Orders!E:E,Orders!B:B,A390)=0,"",MAXIFS(Orders!E:E,Orders!B:B,A390)),"")</f>
        <v/>
      </c>
      <c r="J390" s="5">
        <f>IF(A390="","",COUNTIF(Orders!B:B,A390))</f>
        <v/>
      </c>
      <c r="K390" s="5">
        <f>IF(A390="","",SUMIF(Orders!B:B,A390,Orders!K:K))</f>
        <v/>
      </c>
    </row>
    <row r="391">
      <c r="I391" s="5">
        <f>IFERROR(IF(MAXIFS(Orders!E:E,Orders!B:B,A391)=0,"",MAXIFS(Orders!E:E,Orders!B:B,A391)),"")</f>
        <v/>
      </c>
      <c r="J391" s="5">
        <f>IF(A391="","",COUNTIF(Orders!B:B,A391))</f>
        <v/>
      </c>
      <c r="K391" s="5">
        <f>IF(A391="","",SUMIF(Orders!B:B,A391,Orders!K:K))</f>
        <v/>
      </c>
    </row>
    <row r="392">
      <c r="I392" s="5">
        <f>IFERROR(IF(MAXIFS(Orders!E:E,Orders!B:B,A392)=0,"",MAXIFS(Orders!E:E,Orders!B:B,A392)),"")</f>
        <v/>
      </c>
      <c r="J392" s="5">
        <f>IF(A392="","",COUNTIF(Orders!B:B,A392))</f>
        <v/>
      </c>
      <c r="K392" s="5">
        <f>IF(A392="","",SUMIF(Orders!B:B,A392,Orders!K:K))</f>
        <v/>
      </c>
    </row>
    <row r="393">
      <c r="I393" s="5">
        <f>IFERROR(IF(MAXIFS(Orders!E:E,Orders!B:B,A393)=0,"",MAXIFS(Orders!E:E,Orders!B:B,A393)),"")</f>
        <v/>
      </c>
      <c r="J393" s="5">
        <f>IF(A393="","",COUNTIF(Orders!B:B,A393))</f>
        <v/>
      </c>
      <c r="K393" s="5">
        <f>IF(A393="","",SUMIF(Orders!B:B,A393,Orders!K:K))</f>
        <v/>
      </c>
    </row>
    <row r="394">
      <c r="I394" s="5">
        <f>IFERROR(IF(MAXIFS(Orders!E:E,Orders!B:B,A394)=0,"",MAXIFS(Orders!E:E,Orders!B:B,A394)),"")</f>
        <v/>
      </c>
      <c r="J394" s="5">
        <f>IF(A394="","",COUNTIF(Orders!B:B,A394))</f>
        <v/>
      </c>
      <c r="K394" s="5">
        <f>IF(A394="","",SUMIF(Orders!B:B,A394,Orders!K:K))</f>
        <v/>
      </c>
    </row>
    <row r="395">
      <c r="I395" s="5">
        <f>IFERROR(IF(MAXIFS(Orders!E:E,Orders!B:B,A395)=0,"",MAXIFS(Orders!E:E,Orders!B:B,A395)),"")</f>
        <v/>
      </c>
      <c r="J395" s="5">
        <f>IF(A395="","",COUNTIF(Orders!B:B,A395))</f>
        <v/>
      </c>
      <c r="K395" s="5">
        <f>IF(A395="","",SUMIF(Orders!B:B,A395,Orders!K:K))</f>
        <v/>
      </c>
    </row>
    <row r="396">
      <c r="I396" s="5">
        <f>IFERROR(IF(MAXIFS(Orders!E:E,Orders!B:B,A396)=0,"",MAXIFS(Orders!E:E,Orders!B:B,A396)),"")</f>
        <v/>
      </c>
      <c r="J396" s="5">
        <f>IF(A396="","",COUNTIF(Orders!B:B,A396))</f>
        <v/>
      </c>
      <c r="K396" s="5">
        <f>IF(A396="","",SUMIF(Orders!B:B,A396,Orders!K:K))</f>
        <v/>
      </c>
    </row>
    <row r="397">
      <c r="I397" s="5">
        <f>IFERROR(IF(MAXIFS(Orders!E:E,Orders!B:B,A397)=0,"",MAXIFS(Orders!E:E,Orders!B:B,A397)),"")</f>
        <v/>
      </c>
      <c r="J397" s="5">
        <f>IF(A397="","",COUNTIF(Orders!B:B,A397))</f>
        <v/>
      </c>
      <c r="K397" s="5">
        <f>IF(A397="","",SUMIF(Orders!B:B,A397,Orders!K:K))</f>
        <v/>
      </c>
    </row>
    <row r="398">
      <c r="I398" s="5">
        <f>IFERROR(IF(MAXIFS(Orders!E:E,Orders!B:B,A398)=0,"",MAXIFS(Orders!E:E,Orders!B:B,A398)),"")</f>
        <v/>
      </c>
      <c r="J398" s="5">
        <f>IF(A398="","",COUNTIF(Orders!B:B,A398))</f>
        <v/>
      </c>
      <c r="K398" s="5">
        <f>IF(A398="","",SUMIF(Orders!B:B,A398,Orders!K:K))</f>
        <v/>
      </c>
    </row>
    <row r="399">
      <c r="I399" s="5">
        <f>IFERROR(IF(MAXIFS(Orders!E:E,Orders!B:B,A399)=0,"",MAXIFS(Orders!E:E,Orders!B:B,A399)),"")</f>
        <v/>
      </c>
      <c r="J399" s="5">
        <f>IF(A399="","",COUNTIF(Orders!B:B,A399))</f>
        <v/>
      </c>
      <c r="K399" s="5">
        <f>IF(A399="","",SUMIF(Orders!B:B,A399,Orders!K:K))</f>
        <v/>
      </c>
    </row>
    <row r="400">
      <c r="I400" s="5">
        <f>IFERROR(IF(MAXIFS(Orders!E:E,Orders!B:B,A400)=0,"",MAXIFS(Orders!E:E,Orders!B:B,A400)),"")</f>
        <v/>
      </c>
      <c r="J400" s="5">
        <f>IF(A400="","",COUNTIF(Orders!B:B,A400))</f>
        <v/>
      </c>
      <c r="K400" s="5">
        <f>IF(A400="","",SUMIF(Orders!B:B,A400,Orders!K:K))</f>
        <v/>
      </c>
    </row>
    <row r="401">
      <c r="I401" s="5">
        <f>IFERROR(IF(MAXIFS(Orders!E:E,Orders!B:B,A401)=0,"",MAXIFS(Orders!E:E,Orders!B:B,A401)),"")</f>
        <v/>
      </c>
      <c r="J401" s="5">
        <f>IF(A401="","",COUNTIF(Orders!B:B,A401))</f>
        <v/>
      </c>
      <c r="K401" s="5">
        <f>IF(A401="","",SUMIF(Orders!B:B,A401,Orders!K:K))</f>
        <v/>
      </c>
    </row>
    <row r="402">
      <c r="I402" s="5">
        <f>IFERROR(IF(MAXIFS(Orders!E:E,Orders!B:B,A402)=0,"",MAXIFS(Orders!E:E,Orders!B:B,A402)),"")</f>
        <v/>
      </c>
      <c r="J402" s="5">
        <f>IF(A402="","",COUNTIF(Orders!B:B,A402))</f>
        <v/>
      </c>
      <c r="K402" s="5">
        <f>IF(A402="","",SUMIF(Orders!B:B,A402,Orders!K:K))</f>
        <v/>
      </c>
    </row>
    <row r="403">
      <c r="I403" s="5">
        <f>IFERROR(IF(MAXIFS(Orders!E:E,Orders!B:B,A403)=0,"",MAXIFS(Orders!E:E,Orders!B:B,A403)),"")</f>
        <v/>
      </c>
      <c r="J403" s="5">
        <f>IF(A403="","",COUNTIF(Orders!B:B,A403))</f>
        <v/>
      </c>
      <c r="K403" s="5">
        <f>IF(A403="","",SUMIF(Orders!B:B,A403,Orders!K:K))</f>
        <v/>
      </c>
    </row>
    <row r="404">
      <c r="I404" s="5">
        <f>IFERROR(IF(MAXIFS(Orders!E:E,Orders!B:B,A404)=0,"",MAXIFS(Orders!E:E,Orders!B:B,A404)),"")</f>
        <v/>
      </c>
      <c r="J404" s="5">
        <f>IF(A404="","",COUNTIF(Orders!B:B,A404))</f>
        <v/>
      </c>
      <c r="K404" s="5">
        <f>IF(A404="","",SUMIF(Orders!B:B,A404,Orders!K:K))</f>
        <v/>
      </c>
    </row>
    <row r="405">
      <c r="I405" s="5">
        <f>IFERROR(IF(MAXIFS(Orders!E:E,Orders!B:B,A405)=0,"",MAXIFS(Orders!E:E,Orders!B:B,A405)),"")</f>
        <v/>
      </c>
      <c r="J405" s="5">
        <f>IF(A405="","",COUNTIF(Orders!B:B,A405))</f>
        <v/>
      </c>
      <c r="K405" s="5">
        <f>IF(A405="","",SUMIF(Orders!B:B,A405,Orders!K:K))</f>
        <v/>
      </c>
    </row>
    <row r="406">
      <c r="I406" s="5">
        <f>IFERROR(IF(MAXIFS(Orders!E:E,Orders!B:B,A406)=0,"",MAXIFS(Orders!E:E,Orders!B:B,A406)),"")</f>
        <v/>
      </c>
      <c r="J406" s="5">
        <f>IF(A406="","",COUNTIF(Orders!B:B,A406))</f>
        <v/>
      </c>
      <c r="K406" s="5">
        <f>IF(A406="","",SUMIF(Orders!B:B,A406,Orders!K:K))</f>
        <v/>
      </c>
    </row>
    <row r="407">
      <c r="I407" s="5">
        <f>IFERROR(IF(MAXIFS(Orders!E:E,Orders!B:B,A407)=0,"",MAXIFS(Orders!E:E,Orders!B:B,A407)),"")</f>
        <v/>
      </c>
      <c r="J407" s="5">
        <f>IF(A407="","",COUNTIF(Orders!B:B,A407))</f>
        <v/>
      </c>
      <c r="K407" s="5">
        <f>IF(A407="","",SUMIF(Orders!B:B,A407,Orders!K:K))</f>
        <v/>
      </c>
    </row>
    <row r="408">
      <c r="I408" s="5">
        <f>IFERROR(IF(MAXIFS(Orders!E:E,Orders!B:B,A408)=0,"",MAXIFS(Orders!E:E,Orders!B:B,A408)),"")</f>
        <v/>
      </c>
      <c r="J408" s="5">
        <f>IF(A408="","",COUNTIF(Orders!B:B,A408))</f>
        <v/>
      </c>
      <c r="K408" s="5">
        <f>IF(A408="","",SUMIF(Orders!B:B,A408,Orders!K:K))</f>
        <v/>
      </c>
    </row>
    <row r="409">
      <c r="I409" s="5">
        <f>IFERROR(IF(MAXIFS(Orders!E:E,Orders!B:B,A409)=0,"",MAXIFS(Orders!E:E,Orders!B:B,A409)),"")</f>
        <v/>
      </c>
      <c r="J409" s="5">
        <f>IF(A409="","",COUNTIF(Orders!B:B,A409))</f>
        <v/>
      </c>
      <c r="K409" s="5">
        <f>IF(A409="","",SUMIF(Orders!B:B,A409,Orders!K:K))</f>
        <v/>
      </c>
    </row>
    <row r="410">
      <c r="I410" s="5">
        <f>IFERROR(IF(MAXIFS(Orders!E:E,Orders!B:B,A410)=0,"",MAXIFS(Orders!E:E,Orders!B:B,A410)),"")</f>
        <v/>
      </c>
      <c r="J410" s="5">
        <f>IF(A410="","",COUNTIF(Orders!B:B,A410))</f>
        <v/>
      </c>
      <c r="K410" s="5">
        <f>IF(A410="","",SUMIF(Orders!B:B,A410,Orders!K:K))</f>
        <v/>
      </c>
    </row>
    <row r="411">
      <c r="I411" s="5">
        <f>IFERROR(IF(MAXIFS(Orders!E:E,Orders!B:B,A411)=0,"",MAXIFS(Orders!E:E,Orders!B:B,A411)),"")</f>
        <v/>
      </c>
      <c r="J411" s="5">
        <f>IF(A411="","",COUNTIF(Orders!B:B,A411))</f>
        <v/>
      </c>
      <c r="K411" s="5">
        <f>IF(A411="","",SUMIF(Orders!B:B,A411,Orders!K:K))</f>
        <v/>
      </c>
    </row>
    <row r="412">
      <c r="I412" s="5">
        <f>IFERROR(IF(MAXIFS(Orders!E:E,Orders!B:B,A412)=0,"",MAXIFS(Orders!E:E,Orders!B:B,A412)),"")</f>
        <v/>
      </c>
      <c r="J412" s="5">
        <f>IF(A412="","",COUNTIF(Orders!B:B,A412))</f>
        <v/>
      </c>
      <c r="K412" s="5">
        <f>IF(A412="","",SUMIF(Orders!B:B,A412,Orders!K:K))</f>
        <v/>
      </c>
    </row>
    <row r="413">
      <c r="I413" s="5">
        <f>IFERROR(IF(MAXIFS(Orders!E:E,Orders!B:B,A413)=0,"",MAXIFS(Orders!E:E,Orders!B:B,A413)),"")</f>
        <v/>
      </c>
      <c r="J413" s="5">
        <f>IF(A413="","",COUNTIF(Orders!B:B,A413))</f>
        <v/>
      </c>
      <c r="K413" s="5">
        <f>IF(A413="","",SUMIF(Orders!B:B,A413,Orders!K:K))</f>
        <v/>
      </c>
    </row>
    <row r="414">
      <c r="I414" s="5">
        <f>IFERROR(IF(MAXIFS(Orders!E:E,Orders!B:B,A414)=0,"",MAXIFS(Orders!E:E,Orders!B:B,A414)),"")</f>
        <v/>
      </c>
      <c r="J414" s="5">
        <f>IF(A414="","",COUNTIF(Orders!B:B,A414))</f>
        <v/>
      </c>
      <c r="K414" s="5">
        <f>IF(A414="","",SUMIF(Orders!B:B,A414,Orders!K:K))</f>
        <v/>
      </c>
    </row>
    <row r="415">
      <c r="I415" s="5">
        <f>IFERROR(IF(MAXIFS(Orders!E:E,Orders!B:B,A415)=0,"",MAXIFS(Orders!E:E,Orders!B:B,A415)),"")</f>
        <v/>
      </c>
      <c r="J415" s="5">
        <f>IF(A415="","",COUNTIF(Orders!B:B,A415))</f>
        <v/>
      </c>
      <c r="K415" s="5">
        <f>IF(A415="","",SUMIF(Orders!B:B,A415,Orders!K:K))</f>
        <v/>
      </c>
    </row>
    <row r="416">
      <c r="I416" s="5">
        <f>IFERROR(IF(MAXIFS(Orders!E:E,Orders!B:B,A416)=0,"",MAXIFS(Orders!E:E,Orders!B:B,A416)),"")</f>
        <v/>
      </c>
      <c r="J416" s="5">
        <f>IF(A416="","",COUNTIF(Orders!B:B,A416))</f>
        <v/>
      </c>
      <c r="K416" s="5">
        <f>IF(A416="","",SUMIF(Orders!B:B,A416,Orders!K:K))</f>
        <v/>
      </c>
    </row>
    <row r="417">
      <c r="I417" s="5">
        <f>IFERROR(IF(MAXIFS(Orders!E:E,Orders!B:B,A417)=0,"",MAXIFS(Orders!E:E,Orders!B:B,A417)),"")</f>
        <v/>
      </c>
      <c r="J417" s="5">
        <f>IF(A417="","",COUNTIF(Orders!B:B,A417))</f>
        <v/>
      </c>
      <c r="K417" s="5">
        <f>IF(A417="","",SUMIF(Orders!B:B,A417,Orders!K:K))</f>
        <v/>
      </c>
    </row>
    <row r="418">
      <c r="I418" s="5">
        <f>IFERROR(IF(MAXIFS(Orders!E:E,Orders!B:B,A418)=0,"",MAXIFS(Orders!E:E,Orders!B:B,A418)),"")</f>
        <v/>
      </c>
      <c r="J418" s="5">
        <f>IF(A418="","",COUNTIF(Orders!B:B,A418))</f>
        <v/>
      </c>
      <c r="K418" s="5">
        <f>IF(A418="","",SUMIF(Orders!B:B,A418,Orders!K:K))</f>
        <v/>
      </c>
    </row>
    <row r="419">
      <c r="I419" s="5">
        <f>IFERROR(IF(MAXIFS(Orders!E:E,Orders!B:B,A419)=0,"",MAXIFS(Orders!E:E,Orders!B:B,A419)),"")</f>
        <v/>
      </c>
      <c r="J419" s="5">
        <f>IF(A419="","",COUNTIF(Orders!B:B,A419))</f>
        <v/>
      </c>
      <c r="K419" s="5">
        <f>IF(A419="","",SUMIF(Orders!B:B,A419,Orders!K:K))</f>
        <v/>
      </c>
    </row>
    <row r="420">
      <c r="I420" s="5">
        <f>IFERROR(IF(MAXIFS(Orders!E:E,Orders!B:B,A420)=0,"",MAXIFS(Orders!E:E,Orders!B:B,A420)),"")</f>
        <v/>
      </c>
      <c r="J420" s="5">
        <f>IF(A420="","",COUNTIF(Orders!B:B,A420))</f>
        <v/>
      </c>
      <c r="K420" s="5">
        <f>IF(A420="","",SUMIF(Orders!B:B,A420,Orders!K:K))</f>
        <v/>
      </c>
    </row>
    <row r="421">
      <c r="I421" s="5">
        <f>IFERROR(IF(MAXIFS(Orders!E:E,Orders!B:B,A421)=0,"",MAXIFS(Orders!E:E,Orders!B:B,A421)),"")</f>
        <v/>
      </c>
      <c r="J421" s="5">
        <f>IF(A421="","",COUNTIF(Orders!B:B,A421))</f>
        <v/>
      </c>
      <c r="K421" s="5">
        <f>IF(A421="","",SUMIF(Orders!B:B,A421,Orders!K:K))</f>
        <v/>
      </c>
    </row>
    <row r="422">
      <c r="I422" s="5">
        <f>IFERROR(IF(MAXIFS(Orders!E:E,Orders!B:B,A422)=0,"",MAXIFS(Orders!E:E,Orders!B:B,A422)),"")</f>
        <v/>
      </c>
      <c r="J422" s="5">
        <f>IF(A422="","",COUNTIF(Orders!B:B,A422))</f>
        <v/>
      </c>
      <c r="K422" s="5">
        <f>IF(A422="","",SUMIF(Orders!B:B,A422,Orders!K:K))</f>
        <v/>
      </c>
    </row>
    <row r="423">
      <c r="I423" s="5">
        <f>IFERROR(IF(MAXIFS(Orders!E:E,Orders!B:B,A423)=0,"",MAXIFS(Orders!E:E,Orders!B:B,A423)),"")</f>
        <v/>
      </c>
      <c r="J423" s="5">
        <f>IF(A423="","",COUNTIF(Orders!B:B,A423))</f>
        <v/>
      </c>
      <c r="K423" s="5">
        <f>IF(A423="","",SUMIF(Orders!B:B,A423,Orders!K:K))</f>
        <v/>
      </c>
    </row>
    <row r="424">
      <c r="I424" s="5">
        <f>IFERROR(IF(MAXIFS(Orders!E:E,Orders!B:B,A424)=0,"",MAXIFS(Orders!E:E,Orders!B:B,A424)),"")</f>
        <v/>
      </c>
      <c r="J424" s="5">
        <f>IF(A424="","",COUNTIF(Orders!B:B,A424))</f>
        <v/>
      </c>
      <c r="K424" s="5">
        <f>IF(A424="","",SUMIF(Orders!B:B,A424,Orders!K:K))</f>
        <v/>
      </c>
    </row>
    <row r="425">
      <c r="I425" s="5">
        <f>IFERROR(IF(MAXIFS(Orders!E:E,Orders!B:B,A425)=0,"",MAXIFS(Orders!E:E,Orders!B:B,A425)),"")</f>
        <v/>
      </c>
      <c r="J425" s="5">
        <f>IF(A425="","",COUNTIF(Orders!B:B,A425))</f>
        <v/>
      </c>
      <c r="K425" s="5">
        <f>IF(A425="","",SUMIF(Orders!B:B,A425,Orders!K:K))</f>
        <v/>
      </c>
    </row>
    <row r="426">
      <c r="I426" s="5">
        <f>IFERROR(IF(MAXIFS(Orders!E:E,Orders!B:B,A426)=0,"",MAXIFS(Orders!E:E,Orders!B:B,A426)),"")</f>
        <v/>
      </c>
      <c r="J426" s="5">
        <f>IF(A426="","",COUNTIF(Orders!B:B,A426))</f>
        <v/>
      </c>
      <c r="K426" s="5">
        <f>IF(A426="","",SUMIF(Orders!B:B,A426,Orders!K:K))</f>
        <v/>
      </c>
    </row>
    <row r="427">
      <c r="I427" s="5">
        <f>IFERROR(IF(MAXIFS(Orders!E:E,Orders!B:B,A427)=0,"",MAXIFS(Orders!E:E,Orders!B:B,A427)),"")</f>
        <v/>
      </c>
      <c r="J427" s="5">
        <f>IF(A427="","",COUNTIF(Orders!B:B,A427))</f>
        <v/>
      </c>
      <c r="K427" s="5">
        <f>IF(A427="","",SUMIF(Orders!B:B,A427,Orders!K:K))</f>
        <v/>
      </c>
    </row>
    <row r="428">
      <c r="I428" s="5">
        <f>IFERROR(IF(MAXIFS(Orders!E:E,Orders!B:B,A428)=0,"",MAXIFS(Orders!E:E,Orders!B:B,A428)),"")</f>
        <v/>
      </c>
      <c r="J428" s="5">
        <f>IF(A428="","",COUNTIF(Orders!B:B,A428))</f>
        <v/>
      </c>
      <c r="K428" s="5">
        <f>IF(A428="","",SUMIF(Orders!B:B,A428,Orders!K:K))</f>
        <v/>
      </c>
    </row>
    <row r="429">
      <c r="I429" s="5">
        <f>IFERROR(IF(MAXIFS(Orders!E:E,Orders!B:B,A429)=0,"",MAXIFS(Orders!E:E,Orders!B:B,A429)),"")</f>
        <v/>
      </c>
      <c r="J429" s="5">
        <f>IF(A429="","",COUNTIF(Orders!B:B,A429))</f>
        <v/>
      </c>
      <c r="K429" s="5">
        <f>IF(A429="","",SUMIF(Orders!B:B,A429,Orders!K:K))</f>
        <v/>
      </c>
    </row>
    <row r="430">
      <c r="I430" s="5">
        <f>IFERROR(IF(MAXIFS(Orders!E:E,Orders!B:B,A430)=0,"",MAXIFS(Orders!E:E,Orders!B:B,A430)),"")</f>
        <v/>
      </c>
      <c r="J430" s="5">
        <f>IF(A430="","",COUNTIF(Orders!B:B,A430))</f>
        <v/>
      </c>
      <c r="K430" s="5">
        <f>IF(A430="","",SUMIF(Orders!B:B,A430,Orders!K:K))</f>
        <v/>
      </c>
    </row>
    <row r="431">
      <c r="I431" s="5">
        <f>IFERROR(IF(MAXIFS(Orders!E:E,Orders!B:B,A431)=0,"",MAXIFS(Orders!E:E,Orders!B:B,A431)),"")</f>
        <v/>
      </c>
      <c r="J431" s="5">
        <f>IF(A431="","",COUNTIF(Orders!B:B,A431))</f>
        <v/>
      </c>
      <c r="K431" s="5">
        <f>IF(A431="","",SUMIF(Orders!B:B,A431,Orders!K:K))</f>
        <v/>
      </c>
    </row>
    <row r="432">
      <c r="I432" s="5">
        <f>IFERROR(IF(MAXIFS(Orders!E:E,Orders!B:B,A432)=0,"",MAXIFS(Orders!E:E,Orders!B:B,A432)),"")</f>
        <v/>
      </c>
      <c r="J432" s="5">
        <f>IF(A432="","",COUNTIF(Orders!B:B,A432))</f>
        <v/>
      </c>
      <c r="K432" s="5">
        <f>IF(A432="","",SUMIF(Orders!B:B,A432,Orders!K:K))</f>
        <v/>
      </c>
    </row>
    <row r="433">
      <c r="I433" s="5">
        <f>IFERROR(IF(MAXIFS(Orders!E:E,Orders!B:B,A433)=0,"",MAXIFS(Orders!E:E,Orders!B:B,A433)),"")</f>
        <v/>
      </c>
      <c r="J433" s="5">
        <f>IF(A433="","",COUNTIF(Orders!B:B,A433))</f>
        <v/>
      </c>
      <c r="K433" s="5">
        <f>IF(A433="","",SUMIF(Orders!B:B,A433,Orders!K:K))</f>
        <v/>
      </c>
    </row>
    <row r="434">
      <c r="I434" s="5">
        <f>IFERROR(IF(MAXIFS(Orders!E:E,Orders!B:B,A434)=0,"",MAXIFS(Orders!E:E,Orders!B:B,A434)),"")</f>
        <v/>
      </c>
      <c r="J434" s="5">
        <f>IF(A434="","",COUNTIF(Orders!B:B,A434))</f>
        <v/>
      </c>
      <c r="K434" s="5">
        <f>IF(A434="","",SUMIF(Orders!B:B,A434,Orders!K:K))</f>
        <v/>
      </c>
    </row>
    <row r="435">
      <c r="I435" s="5">
        <f>IFERROR(IF(MAXIFS(Orders!E:E,Orders!B:B,A435)=0,"",MAXIFS(Orders!E:E,Orders!B:B,A435)),"")</f>
        <v/>
      </c>
      <c r="J435" s="5">
        <f>IF(A435="","",COUNTIF(Orders!B:B,A435))</f>
        <v/>
      </c>
      <c r="K435" s="5">
        <f>IF(A435="","",SUMIF(Orders!B:B,A435,Orders!K:K))</f>
        <v/>
      </c>
    </row>
    <row r="436">
      <c r="I436" s="5">
        <f>IFERROR(IF(MAXIFS(Orders!E:E,Orders!B:B,A436)=0,"",MAXIFS(Orders!E:E,Orders!B:B,A436)),"")</f>
        <v/>
      </c>
      <c r="J436" s="5">
        <f>IF(A436="","",COUNTIF(Orders!B:B,A436))</f>
        <v/>
      </c>
      <c r="K436" s="5">
        <f>IF(A436="","",SUMIF(Orders!B:B,A436,Orders!K:K))</f>
        <v/>
      </c>
    </row>
    <row r="437">
      <c r="I437" s="5">
        <f>IFERROR(IF(MAXIFS(Orders!E:E,Orders!B:B,A437)=0,"",MAXIFS(Orders!E:E,Orders!B:B,A437)),"")</f>
        <v/>
      </c>
      <c r="J437" s="5">
        <f>IF(A437="","",COUNTIF(Orders!B:B,A437))</f>
        <v/>
      </c>
      <c r="K437" s="5">
        <f>IF(A437="","",SUMIF(Orders!B:B,A437,Orders!K:K))</f>
        <v/>
      </c>
    </row>
    <row r="438">
      <c r="I438" s="5">
        <f>IFERROR(IF(MAXIFS(Orders!E:E,Orders!B:B,A438)=0,"",MAXIFS(Orders!E:E,Orders!B:B,A438)),"")</f>
        <v/>
      </c>
      <c r="J438" s="5">
        <f>IF(A438="","",COUNTIF(Orders!B:B,A438))</f>
        <v/>
      </c>
      <c r="K438" s="5">
        <f>IF(A438="","",SUMIF(Orders!B:B,A438,Orders!K:K))</f>
        <v/>
      </c>
    </row>
    <row r="439">
      <c r="I439" s="5">
        <f>IFERROR(IF(MAXIFS(Orders!E:E,Orders!B:B,A439)=0,"",MAXIFS(Orders!E:E,Orders!B:B,A439)),"")</f>
        <v/>
      </c>
      <c r="J439" s="5">
        <f>IF(A439="","",COUNTIF(Orders!B:B,A439))</f>
        <v/>
      </c>
      <c r="K439" s="5">
        <f>IF(A439="","",SUMIF(Orders!B:B,A439,Orders!K:K))</f>
        <v/>
      </c>
    </row>
    <row r="440">
      <c r="I440" s="5">
        <f>IFERROR(IF(MAXIFS(Orders!E:E,Orders!B:B,A440)=0,"",MAXIFS(Orders!E:E,Orders!B:B,A440)),"")</f>
        <v/>
      </c>
      <c r="J440" s="5">
        <f>IF(A440="","",COUNTIF(Orders!B:B,A440))</f>
        <v/>
      </c>
      <c r="K440" s="5">
        <f>IF(A440="","",SUMIF(Orders!B:B,A440,Orders!K:K))</f>
        <v/>
      </c>
    </row>
    <row r="441">
      <c r="I441" s="5">
        <f>IFERROR(IF(MAXIFS(Orders!E:E,Orders!B:B,A441)=0,"",MAXIFS(Orders!E:E,Orders!B:B,A441)),"")</f>
        <v/>
      </c>
      <c r="J441" s="5">
        <f>IF(A441="","",COUNTIF(Orders!B:B,A441))</f>
        <v/>
      </c>
      <c r="K441" s="5">
        <f>IF(A441="","",SUMIF(Orders!B:B,A441,Orders!K:K))</f>
        <v/>
      </c>
    </row>
    <row r="442">
      <c r="I442" s="5">
        <f>IFERROR(IF(MAXIFS(Orders!E:E,Orders!B:B,A442)=0,"",MAXIFS(Orders!E:E,Orders!B:B,A442)),"")</f>
        <v/>
      </c>
      <c r="J442" s="5">
        <f>IF(A442="","",COUNTIF(Orders!B:B,A442))</f>
        <v/>
      </c>
      <c r="K442" s="5">
        <f>IF(A442="","",SUMIF(Orders!B:B,A442,Orders!K:K))</f>
        <v/>
      </c>
    </row>
    <row r="443">
      <c r="I443" s="5">
        <f>IFERROR(IF(MAXIFS(Orders!E:E,Orders!B:B,A443)=0,"",MAXIFS(Orders!E:E,Orders!B:B,A443)),"")</f>
        <v/>
      </c>
      <c r="J443" s="5">
        <f>IF(A443="","",COUNTIF(Orders!B:B,A443))</f>
        <v/>
      </c>
      <c r="K443" s="5">
        <f>IF(A443="","",SUMIF(Orders!B:B,A443,Orders!K:K))</f>
        <v/>
      </c>
    </row>
    <row r="444">
      <c r="I444" s="5">
        <f>IFERROR(IF(MAXIFS(Orders!E:E,Orders!B:B,A444)=0,"",MAXIFS(Orders!E:E,Orders!B:B,A444)),"")</f>
        <v/>
      </c>
      <c r="J444" s="5">
        <f>IF(A444="","",COUNTIF(Orders!B:B,A444))</f>
        <v/>
      </c>
      <c r="K444" s="5">
        <f>IF(A444="","",SUMIF(Orders!B:B,A444,Orders!K:K))</f>
        <v/>
      </c>
    </row>
    <row r="445">
      <c r="I445" s="5">
        <f>IFERROR(IF(MAXIFS(Orders!E:E,Orders!B:B,A445)=0,"",MAXIFS(Orders!E:E,Orders!B:B,A445)),"")</f>
        <v/>
      </c>
      <c r="J445" s="5">
        <f>IF(A445="","",COUNTIF(Orders!B:B,A445))</f>
        <v/>
      </c>
      <c r="K445" s="5">
        <f>IF(A445="","",SUMIF(Orders!B:B,A445,Orders!K:K))</f>
        <v/>
      </c>
    </row>
    <row r="446">
      <c r="I446" s="5">
        <f>IFERROR(IF(MAXIFS(Orders!E:E,Orders!B:B,A446)=0,"",MAXIFS(Orders!E:E,Orders!B:B,A446)),"")</f>
        <v/>
      </c>
      <c r="J446" s="5">
        <f>IF(A446="","",COUNTIF(Orders!B:B,A446))</f>
        <v/>
      </c>
      <c r="K446" s="5">
        <f>IF(A446="","",SUMIF(Orders!B:B,A446,Orders!K:K))</f>
        <v/>
      </c>
    </row>
    <row r="447">
      <c r="I447" s="5">
        <f>IFERROR(IF(MAXIFS(Orders!E:E,Orders!B:B,A447)=0,"",MAXIFS(Orders!E:E,Orders!B:B,A447)),"")</f>
        <v/>
      </c>
      <c r="J447" s="5">
        <f>IF(A447="","",COUNTIF(Orders!B:B,A447))</f>
        <v/>
      </c>
      <c r="K447" s="5">
        <f>IF(A447="","",SUMIF(Orders!B:B,A447,Orders!K:K))</f>
        <v/>
      </c>
    </row>
    <row r="448">
      <c r="I448" s="5">
        <f>IFERROR(IF(MAXIFS(Orders!E:E,Orders!B:B,A448)=0,"",MAXIFS(Orders!E:E,Orders!B:B,A448)),"")</f>
        <v/>
      </c>
      <c r="J448" s="5">
        <f>IF(A448="","",COUNTIF(Orders!B:B,A448))</f>
        <v/>
      </c>
      <c r="K448" s="5">
        <f>IF(A448="","",SUMIF(Orders!B:B,A448,Orders!K:K))</f>
        <v/>
      </c>
    </row>
    <row r="449">
      <c r="I449" s="5">
        <f>IFERROR(IF(MAXIFS(Orders!E:E,Orders!B:B,A449)=0,"",MAXIFS(Orders!E:E,Orders!B:B,A449)),"")</f>
        <v/>
      </c>
      <c r="J449" s="5">
        <f>IF(A449="","",COUNTIF(Orders!B:B,A449))</f>
        <v/>
      </c>
      <c r="K449" s="5">
        <f>IF(A449="","",SUMIF(Orders!B:B,A449,Orders!K:K))</f>
        <v/>
      </c>
    </row>
    <row r="450">
      <c r="I450" s="5">
        <f>IFERROR(IF(MAXIFS(Orders!E:E,Orders!B:B,A450)=0,"",MAXIFS(Orders!E:E,Orders!B:B,A450)),"")</f>
        <v/>
      </c>
      <c r="J450" s="5">
        <f>IF(A450="","",COUNTIF(Orders!B:B,A450))</f>
        <v/>
      </c>
      <c r="K450" s="5">
        <f>IF(A450="","",SUMIF(Orders!B:B,A450,Orders!K:K))</f>
        <v/>
      </c>
    </row>
    <row r="451">
      <c r="I451" s="5">
        <f>IFERROR(IF(MAXIFS(Orders!E:E,Orders!B:B,A451)=0,"",MAXIFS(Orders!E:E,Orders!B:B,A451)),"")</f>
        <v/>
      </c>
      <c r="J451" s="5">
        <f>IF(A451="","",COUNTIF(Orders!B:B,A451))</f>
        <v/>
      </c>
      <c r="K451" s="5">
        <f>IF(A451="","",SUMIF(Orders!B:B,A451,Orders!K:K))</f>
        <v/>
      </c>
    </row>
    <row r="452">
      <c r="I452" s="5">
        <f>IFERROR(IF(MAXIFS(Orders!E:E,Orders!B:B,A452)=0,"",MAXIFS(Orders!E:E,Orders!B:B,A452)),"")</f>
        <v/>
      </c>
      <c r="J452" s="5">
        <f>IF(A452="","",COUNTIF(Orders!B:B,A452))</f>
        <v/>
      </c>
      <c r="K452" s="5">
        <f>IF(A452="","",SUMIF(Orders!B:B,A452,Orders!K:K))</f>
        <v/>
      </c>
    </row>
    <row r="453">
      <c r="I453" s="5">
        <f>IFERROR(IF(MAXIFS(Orders!E:E,Orders!B:B,A453)=0,"",MAXIFS(Orders!E:E,Orders!B:B,A453)),"")</f>
        <v/>
      </c>
      <c r="J453" s="5">
        <f>IF(A453="","",COUNTIF(Orders!B:B,A453))</f>
        <v/>
      </c>
      <c r="K453" s="5">
        <f>IF(A453="","",SUMIF(Orders!B:B,A453,Orders!K:K))</f>
        <v/>
      </c>
    </row>
    <row r="454">
      <c r="I454" s="5">
        <f>IFERROR(IF(MAXIFS(Orders!E:E,Orders!B:B,A454)=0,"",MAXIFS(Orders!E:E,Orders!B:B,A454)),"")</f>
        <v/>
      </c>
      <c r="J454" s="5">
        <f>IF(A454="","",COUNTIF(Orders!B:B,A454))</f>
        <v/>
      </c>
      <c r="K454" s="5">
        <f>IF(A454="","",SUMIF(Orders!B:B,A454,Orders!K:K))</f>
        <v/>
      </c>
    </row>
    <row r="455">
      <c r="I455" s="5">
        <f>IFERROR(IF(MAXIFS(Orders!E:E,Orders!B:B,A455)=0,"",MAXIFS(Orders!E:E,Orders!B:B,A455)),"")</f>
        <v/>
      </c>
      <c r="J455" s="5">
        <f>IF(A455="","",COUNTIF(Orders!B:B,A455))</f>
        <v/>
      </c>
      <c r="K455" s="5">
        <f>IF(A455="","",SUMIF(Orders!B:B,A455,Orders!K:K))</f>
        <v/>
      </c>
    </row>
    <row r="456">
      <c r="I456" s="5">
        <f>IFERROR(IF(MAXIFS(Orders!E:E,Orders!B:B,A456)=0,"",MAXIFS(Orders!E:E,Orders!B:B,A456)),"")</f>
        <v/>
      </c>
      <c r="J456" s="5">
        <f>IF(A456="","",COUNTIF(Orders!B:B,A456))</f>
        <v/>
      </c>
      <c r="K456" s="5">
        <f>IF(A456="","",SUMIF(Orders!B:B,A456,Orders!K:K))</f>
        <v/>
      </c>
    </row>
    <row r="457">
      <c r="I457" s="5">
        <f>IFERROR(IF(MAXIFS(Orders!E:E,Orders!B:B,A457)=0,"",MAXIFS(Orders!E:E,Orders!B:B,A457)),"")</f>
        <v/>
      </c>
      <c r="J457" s="5">
        <f>IF(A457="","",COUNTIF(Orders!B:B,A457))</f>
        <v/>
      </c>
      <c r="K457" s="5">
        <f>IF(A457="","",SUMIF(Orders!B:B,A457,Orders!K:K))</f>
        <v/>
      </c>
    </row>
    <row r="458">
      <c r="I458" s="5">
        <f>IFERROR(IF(MAXIFS(Orders!E:E,Orders!B:B,A458)=0,"",MAXIFS(Orders!E:E,Orders!B:B,A458)),"")</f>
        <v/>
      </c>
      <c r="J458" s="5">
        <f>IF(A458="","",COUNTIF(Orders!B:B,A458))</f>
        <v/>
      </c>
      <c r="K458" s="5">
        <f>IF(A458="","",SUMIF(Orders!B:B,A458,Orders!K:K))</f>
        <v/>
      </c>
    </row>
    <row r="459">
      <c r="I459" s="5">
        <f>IFERROR(IF(MAXIFS(Orders!E:E,Orders!B:B,A459)=0,"",MAXIFS(Orders!E:E,Orders!B:B,A459)),"")</f>
        <v/>
      </c>
      <c r="J459" s="5">
        <f>IF(A459="","",COUNTIF(Orders!B:B,A459))</f>
        <v/>
      </c>
      <c r="K459" s="5">
        <f>IF(A459="","",SUMIF(Orders!B:B,A459,Orders!K:K))</f>
        <v/>
      </c>
    </row>
    <row r="460">
      <c r="I460" s="5">
        <f>IFERROR(IF(MAXIFS(Orders!E:E,Orders!B:B,A460)=0,"",MAXIFS(Orders!E:E,Orders!B:B,A460)),"")</f>
        <v/>
      </c>
      <c r="J460" s="5">
        <f>IF(A460="","",COUNTIF(Orders!B:B,A460))</f>
        <v/>
      </c>
      <c r="K460" s="5">
        <f>IF(A460="","",SUMIF(Orders!B:B,A460,Orders!K:K))</f>
        <v/>
      </c>
    </row>
    <row r="461">
      <c r="I461" s="5">
        <f>IFERROR(IF(MAXIFS(Orders!E:E,Orders!B:B,A461)=0,"",MAXIFS(Orders!E:E,Orders!B:B,A461)),"")</f>
        <v/>
      </c>
      <c r="J461" s="5">
        <f>IF(A461="","",COUNTIF(Orders!B:B,A461))</f>
        <v/>
      </c>
      <c r="K461" s="5">
        <f>IF(A461="","",SUMIF(Orders!B:B,A461,Orders!K:K))</f>
        <v/>
      </c>
    </row>
    <row r="462">
      <c r="I462" s="5">
        <f>IFERROR(IF(MAXIFS(Orders!E:E,Orders!B:B,A462)=0,"",MAXIFS(Orders!E:E,Orders!B:B,A462)),"")</f>
        <v/>
      </c>
      <c r="J462" s="5">
        <f>IF(A462="","",COUNTIF(Orders!B:B,A462))</f>
        <v/>
      </c>
      <c r="K462" s="5">
        <f>IF(A462="","",SUMIF(Orders!B:B,A462,Orders!K:K))</f>
        <v/>
      </c>
    </row>
    <row r="463">
      <c r="I463" s="5">
        <f>IFERROR(IF(MAXIFS(Orders!E:E,Orders!B:B,A463)=0,"",MAXIFS(Orders!E:E,Orders!B:B,A463)),"")</f>
        <v/>
      </c>
      <c r="J463" s="5">
        <f>IF(A463="","",COUNTIF(Orders!B:B,A463))</f>
        <v/>
      </c>
      <c r="K463" s="5">
        <f>IF(A463="","",SUMIF(Orders!B:B,A463,Orders!K:K))</f>
        <v/>
      </c>
    </row>
    <row r="464">
      <c r="I464" s="5">
        <f>IFERROR(IF(MAXIFS(Orders!E:E,Orders!B:B,A464)=0,"",MAXIFS(Orders!E:E,Orders!B:B,A464)),"")</f>
        <v/>
      </c>
      <c r="J464" s="5">
        <f>IF(A464="","",COUNTIF(Orders!B:B,A464))</f>
        <v/>
      </c>
      <c r="K464" s="5">
        <f>IF(A464="","",SUMIF(Orders!B:B,A464,Orders!K:K))</f>
        <v/>
      </c>
    </row>
    <row r="465">
      <c r="I465" s="5">
        <f>IFERROR(IF(MAXIFS(Orders!E:E,Orders!B:B,A465)=0,"",MAXIFS(Orders!E:E,Orders!B:B,A465)),"")</f>
        <v/>
      </c>
      <c r="J465" s="5">
        <f>IF(A465="","",COUNTIF(Orders!B:B,A465))</f>
        <v/>
      </c>
      <c r="K465" s="5">
        <f>IF(A465="","",SUMIF(Orders!B:B,A465,Orders!K:K))</f>
        <v/>
      </c>
    </row>
    <row r="466">
      <c r="I466" s="5">
        <f>IFERROR(IF(MAXIFS(Orders!E:E,Orders!B:B,A466)=0,"",MAXIFS(Orders!E:E,Orders!B:B,A466)),"")</f>
        <v/>
      </c>
      <c r="J466" s="5">
        <f>IF(A466="","",COUNTIF(Orders!B:B,A466))</f>
        <v/>
      </c>
      <c r="K466" s="5">
        <f>IF(A466="","",SUMIF(Orders!B:B,A466,Orders!K:K))</f>
        <v/>
      </c>
    </row>
    <row r="467">
      <c r="I467" s="5">
        <f>IFERROR(IF(MAXIFS(Orders!E:E,Orders!B:B,A467)=0,"",MAXIFS(Orders!E:E,Orders!B:B,A467)),"")</f>
        <v/>
      </c>
      <c r="J467" s="5">
        <f>IF(A467="","",COUNTIF(Orders!B:B,A467))</f>
        <v/>
      </c>
      <c r="K467" s="5">
        <f>IF(A467="","",SUMIF(Orders!B:B,A467,Orders!K:K))</f>
        <v/>
      </c>
    </row>
    <row r="468">
      <c r="I468" s="5">
        <f>IFERROR(IF(MAXIFS(Orders!E:E,Orders!B:B,A468)=0,"",MAXIFS(Orders!E:E,Orders!B:B,A468)),"")</f>
        <v/>
      </c>
      <c r="J468" s="5">
        <f>IF(A468="","",COUNTIF(Orders!B:B,A468))</f>
        <v/>
      </c>
      <c r="K468" s="5">
        <f>IF(A468="","",SUMIF(Orders!B:B,A468,Orders!K:K))</f>
        <v/>
      </c>
    </row>
    <row r="469">
      <c r="I469" s="5">
        <f>IFERROR(IF(MAXIFS(Orders!E:E,Orders!B:B,A469)=0,"",MAXIFS(Orders!E:E,Orders!B:B,A469)),"")</f>
        <v/>
      </c>
      <c r="J469" s="5">
        <f>IF(A469="","",COUNTIF(Orders!B:B,A469))</f>
        <v/>
      </c>
      <c r="K469" s="5">
        <f>IF(A469="","",SUMIF(Orders!B:B,A469,Orders!K:K))</f>
        <v/>
      </c>
    </row>
    <row r="470">
      <c r="I470" s="5">
        <f>IFERROR(IF(MAXIFS(Orders!E:E,Orders!B:B,A470)=0,"",MAXIFS(Orders!E:E,Orders!B:B,A470)),"")</f>
        <v/>
      </c>
      <c r="J470" s="5">
        <f>IF(A470="","",COUNTIF(Orders!B:B,A470))</f>
        <v/>
      </c>
      <c r="K470" s="5">
        <f>IF(A470="","",SUMIF(Orders!B:B,A470,Orders!K:K))</f>
        <v/>
      </c>
    </row>
    <row r="471">
      <c r="I471" s="5">
        <f>IFERROR(IF(MAXIFS(Orders!E:E,Orders!B:B,A471)=0,"",MAXIFS(Orders!E:E,Orders!B:B,A471)),"")</f>
        <v/>
      </c>
      <c r="J471" s="5">
        <f>IF(A471="","",COUNTIF(Orders!B:B,A471))</f>
        <v/>
      </c>
      <c r="K471" s="5">
        <f>IF(A471="","",SUMIF(Orders!B:B,A471,Orders!K:K))</f>
        <v/>
      </c>
    </row>
    <row r="472">
      <c r="I472" s="5">
        <f>IFERROR(IF(MAXIFS(Orders!E:E,Orders!B:B,A472)=0,"",MAXIFS(Orders!E:E,Orders!B:B,A472)),"")</f>
        <v/>
      </c>
      <c r="J472" s="5">
        <f>IF(A472="","",COUNTIF(Orders!B:B,A472))</f>
        <v/>
      </c>
      <c r="K472" s="5">
        <f>IF(A472="","",SUMIF(Orders!B:B,A472,Orders!K:K))</f>
        <v/>
      </c>
    </row>
    <row r="473">
      <c r="I473" s="5">
        <f>IFERROR(IF(MAXIFS(Orders!E:E,Orders!B:B,A473)=0,"",MAXIFS(Orders!E:E,Orders!B:B,A473)),"")</f>
        <v/>
      </c>
      <c r="J473" s="5">
        <f>IF(A473="","",COUNTIF(Orders!B:B,A473))</f>
        <v/>
      </c>
      <c r="K473" s="5">
        <f>IF(A473="","",SUMIF(Orders!B:B,A473,Orders!K:K))</f>
        <v/>
      </c>
    </row>
    <row r="474">
      <c r="I474" s="5">
        <f>IFERROR(IF(MAXIFS(Orders!E:E,Orders!B:B,A474)=0,"",MAXIFS(Orders!E:E,Orders!B:B,A474)),"")</f>
        <v/>
      </c>
      <c r="J474" s="5">
        <f>IF(A474="","",COUNTIF(Orders!B:B,A474))</f>
        <v/>
      </c>
      <c r="K474" s="5">
        <f>IF(A474="","",SUMIF(Orders!B:B,A474,Orders!K:K))</f>
        <v/>
      </c>
    </row>
    <row r="475">
      <c r="I475" s="5">
        <f>IFERROR(IF(MAXIFS(Orders!E:E,Orders!B:B,A475)=0,"",MAXIFS(Orders!E:E,Orders!B:B,A475)),"")</f>
        <v/>
      </c>
      <c r="J475" s="5">
        <f>IF(A475="","",COUNTIF(Orders!B:B,A475))</f>
        <v/>
      </c>
      <c r="K475" s="5">
        <f>IF(A475="","",SUMIF(Orders!B:B,A475,Orders!K:K))</f>
        <v/>
      </c>
    </row>
    <row r="476">
      <c r="I476" s="5">
        <f>IFERROR(IF(MAXIFS(Orders!E:E,Orders!B:B,A476)=0,"",MAXIFS(Orders!E:E,Orders!B:B,A476)),"")</f>
        <v/>
      </c>
      <c r="J476" s="5">
        <f>IF(A476="","",COUNTIF(Orders!B:B,A476))</f>
        <v/>
      </c>
      <c r="K476" s="5">
        <f>IF(A476="","",SUMIF(Orders!B:B,A476,Orders!K:K))</f>
        <v/>
      </c>
    </row>
    <row r="477">
      <c r="I477" s="5">
        <f>IFERROR(IF(MAXIFS(Orders!E:E,Orders!B:B,A477)=0,"",MAXIFS(Orders!E:E,Orders!B:B,A477)),"")</f>
        <v/>
      </c>
      <c r="J477" s="5">
        <f>IF(A477="","",COUNTIF(Orders!B:B,A477))</f>
        <v/>
      </c>
      <c r="K477" s="5">
        <f>IF(A477="","",SUMIF(Orders!B:B,A477,Orders!K:K))</f>
        <v/>
      </c>
    </row>
    <row r="478">
      <c r="I478" s="5">
        <f>IFERROR(IF(MAXIFS(Orders!E:E,Orders!B:B,A478)=0,"",MAXIFS(Orders!E:E,Orders!B:B,A478)),"")</f>
        <v/>
      </c>
      <c r="J478" s="5">
        <f>IF(A478="","",COUNTIF(Orders!B:B,A478))</f>
        <v/>
      </c>
      <c r="K478" s="5">
        <f>IF(A478="","",SUMIF(Orders!B:B,A478,Orders!K:K))</f>
        <v/>
      </c>
    </row>
    <row r="479">
      <c r="I479" s="5">
        <f>IFERROR(IF(MAXIFS(Orders!E:E,Orders!B:B,A479)=0,"",MAXIFS(Orders!E:E,Orders!B:B,A479)),"")</f>
        <v/>
      </c>
      <c r="J479" s="5">
        <f>IF(A479="","",COUNTIF(Orders!B:B,A479))</f>
        <v/>
      </c>
      <c r="K479" s="5">
        <f>IF(A479="","",SUMIF(Orders!B:B,A479,Orders!K:K))</f>
        <v/>
      </c>
    </row>
    <row r="480">
      <c r="I480" s="5">
        <f>IFERROR(IF(MAXIFS(Orders!E:E,Orders!B:B,A480)=0,"",MAXIFS(Orders!E:E,Orders!B:B,A480)),"")</f>
        <v/>
      </c>
      <c r="J480" s="5">
        <f>IF(A480="","",COUNTIF(Orders!B:B,A480))</f>
        <v/>
      </c>
      <c r="K480" s="5">
        <f>IF(A480="","",SUMIF(Orders!B:B,A480,Orders!K:K))</f>
        <v/>
      </c>
    </row>
    <row r="481">
      <c r="I481" s="5">
        <f>IFERROR(IF(MAXIFS(Orders!E:E,Orders!B:B,A481)=0,"",MAXIFS(Orders!E:E,Orders!B:B,A481)),"")</f>
        <v/>
      </c>
      <c r="J481" s="5">
        <f>IF(A481="","",COUNTIF(Orders!B:B,A481))</f>
        <v/>
      </c>
      <c r="K481" s="5">
        <f>IF(A481="","",SUMIF(Orders!B:B,A481,Orders!K:K))</f>
        <v/>
      </c>
    </row>
    <row r="482">
      <c r="I482" s="5">
        <f>IFERROR(IF(MAXIFS(Orders!E:E,Orders!B:B,A482)=0,"",MAXIFS(Orders!E:E,Orders!B:B,A482)),"")</f>
        <v/>
      </c>
      <c r="J482" s="5">
        <f>IF(A482="","",COUNTIF(Orders!B:B,A482))</f>
        <v/>
      </c>
      <c r="K482" s="5">
        <f>IF(A482="","",SUMIF(Orders!B:B,A482,Orders!K:K))</f>
        <v/>
      </c>
    </row>
    <row r="483">
      <c r="I483" s="5">
        <f>IFERROR(IF(MAXIFS(Orders!E:E,Orders!B:B,A483)=0,"",MAXIFS(Orders!E:E,Orders!B:B,A483)),"")</f>
        <v/>
      </c>
      <c r="J483" s="5">
        <f>IF(A483="","",COUNTIF(Orders!B:B,A483))</f>
        <v/>
      </c>
      <c r="K483" s="5">
        <f>IF(A483="","",SUMIF(Orders!B:B,A483,Orders!K:K))</f>
        <v/>
      </c>
    </row>
    <row r="484">
      <c r="I484" s="5">
        <f>IFERROR(IF(MAXIFS(Orders!E:E,Orders!B:B,A484)=0,"",MAXIFS(Orders!E:E,Orders!B:B,A484)),"")</f>
        <v/>
      </c>
      <c r="J484" s="5">
        <f>IF(A484="","",COUNTIF(Orders!B:B,A484))</f>
        <v/>
      </c>
      <c r="K484" s="5">
        <f>IF(A484="","",SUMIF(Orders!B:B,A484,Orders!K:K))</f>
        <v/>
      </c>
    </row>
    <row r="485">
      <c r="I485" s="5">
        <f>IFERROR(IF(MAXIFS(Orders!E:E,Orders!B:B,A485)=0,"",MAXIFS(Orders!E:E,Orders!B:B,A485)),"")</f>
        <v/>
      </c>
      <c r="J485" s="5">
        <f>IF(A485="","",COUNTIF(Orders!B:B,A485))</f>
        <v/>
      </c>
      <c r="K485" s="5">
        <f>IF(A485="","",SUMIF(Orders!B:B,A485,Orders!K:K))</f>
        <v/>
      </c>
    </row>
    <row r="486">
      <c r="I486" s="5">
        <f>IFERROR(IF(MAXIFS(Orders!E:E,Orders!B:B,A486)=0,"",MAXIFS(Orders!E:E,Orders!B:B,A486)),"")</f>
        <v/>
      </c>
      <c r="J486" s="5">
        <f>IF(A486="","",COUNTIF(Orders!B:B,A486))</f>
        <v/>
      </c>
      <c r="K486" s="5">
        <f>IF(A486="","",SUMIF(Orders!B:B,A486,Orders!K:K))</f>
        <v/>
      </c>
    </row>
    <row r="487">
      <c r="I487" s="5">
        <f>IFERROR(IF(MAXIFS(Orders!E:E,Orders!B:B,A487)=0,"",MAXIFS(Orders!E:E,Orders!B:B,A487)),"")</f>
        <v/>
      </c>
      <c r="J487" s="5">
        <f>IF(A487="","",COUNTIF(Orders!B:B,A487))</f>
        <v/>
      </c>
      <c r="K487" s="5">
        <f>IF(A487="","",SUMIF(Orders!B:B,A487,Orders!K:K))</f>
        <v/>
      </c>
    </row>
    <row r="488">
      <c r="I488" s="5">
        <f>IFERROR(IF(MAXIFS(Orders!E:E,Orders!B:B,A488)=0,"",MAXIFS(Orders!E:E,Orders!B:B,A488)),"")</f>
        <v/>
      </c>
      <c r="J488" s="5">
        <f>IF(A488="","",COUNTIF(Orders!B:B,A488))</f>
        <v/>
      </c>
      <c r="K488" s="5">
        <f>IF(A488="","",SUMIF(Orders!B:B,A488,Orders!K:K))</f>
        <v/>
      </c>
    </row>
    <row r="489">
      <c r="I489" s="5">
        <f>IFERROR(IF(MAXIFS(Orders!E:E,Orders!B:B,A489)=0,"",MAXIFS(Orders!E:E,Orders!B:B,A489)),"")</f>
        <v/>
      </c>
      <c r="J489" s="5">
        <f>IF(A489="","",COUNTIF(Orders!B:B,A489))</f>
        <v/>
      </c>
      <c r="K489" s="5">
        <f>IF(A489="","",SUMIF(Orders!B:B,A489,Orders!K:K))</f>
        <v/>
      </c>
    </row>
    <row r="490">
      <c r="I490" s="5">
        <f>IFERROR(IF(MAXIFS(Orders!E:E,Orders!B:B,A490)=0,"",MAXIFS(Orders!E:E,Orders!B:B,A490)),"")</f>
        <v/>
      </c>
      <c r="J490" s="5">
        <f>IF(A490="","",COUNTIF(Orders!B:B,A490))</f>
        <v/>
      </c>
      <c r="K490" s="5">
        <f>IF(A490="","",SUMIF(Orders!B:B,A490,Orders!K:K))</f>
        <v/>
      </c>
    </row>
    <row r="491">
      <c r="I491" s="5">
        <f>IFERROR(IF(MAXIFS(Orders!E:E,Orders!B:B,A491)=0,"",MAXIFS(Orders!E:E,Orders!B:B,A491)),"")</f>
        <v/>
      </c>
      <c r="J491" s="5">
        <f>IF(A491="","",COUNTIF(Orders!B:B,A491))</f>
        <v/>
      </c>
      <c r="K491" s="5">
        <f>IF(A491="","",SUMIF(Orders!B:B,A491,Orders!K:K))</f>
        <v/>
      </c>
    </row>
    <row r="492">
      <c r="I492" s="5">
        <f>IFERROR(IF(MAXIFS(Orders!E:E,Orders!B:B,A492)=0,"",MAXIFS(Orders!E:E,Orders!B:B,A492)),"")</f>
        <v/>
      </c>
      <c r="J492" s="5">
        <f>IF(A492="","",COUNTIF(Orders!B:B,A492))</f>
        <v/>
      </c>
      <c r="K492" s="5">
        <f>IF(A492="","",SUMIF(Orders!B:B,A492,Orders!K:K))</f>
        <v/>
      </c>
    </row>
    <row r="493">
      <c r="I493" s="5">
        <f>IFERROR(IF(MAXIFS(Orders!E:E,Orders!B:B,A493)=0,"",MAXIFS(Orders!E:E,Orders!B:B,A493)),"")</f>
        <v/>
      </c>
      <c r="J493" s="5">
        <f>IF(A493="","",COUNTIF(Orders!B:B,A493))</f>
        <v/>
      </c>
      <c r="K493" s="5">
        <f>IF(A493="","",SUMIF(Orders!B:B,A493,Orders!K:K))</f>
        <v/>
      </c>
    </row>
    <row r="494">
      <c r="I494" s="5">
        <f>IFERROR(IF(MAXIFS(Orders!E:E,Orders!B:B,A494)=0,"",MAXIFS(Orders!E:E,Orders!B:B,A494)),"")</f>
        <v/>
      </c>
      <c r="J494" s="5">
        <f>IF(A494="","",COUNTIF(Orders!B:B,A494))</f>
        <v/>
      </c>
      <c r="K494" s="5">
        <f>IF(A494="","",SUMIF(Orders!B:B,A494,Orders!K:K))</f>
        <v/>
      </c>
    </row>
    <row r="495">
      <c r="I495" s="5">
        <f>IFERROR(IF(MAXIFS(Orders!E:E,Orders!B:B,A495)=0,"",MAXIFS(Orders!E:E,Orders!B:B,A495)),"")</f>
        <v/>
      </c>
      <c r="J495" s="5">
        <f>IF(A495="","",COUNTIF(Orders!B:B,A495))</f>
        <v/>
      </c>
      <c r="K495" s="5">
        <f>IF(A495="","",SUMIF(Orders!B:B,A495,Orders!K:K))</f>
        <v/>
      </c>
    </row>
    <row r="496">
      <c r="I496" s="5">
        <f>IFERROR(IF(MAXIFS(Orders!E:E,Orders!B:B,A496)=0,"",MAXIFS(Orders!E:E,Orders!B:B,A496)),"")</f>
        <v/>
      </c>
      <c r="J496" s="5">
        <f>IF(A496="","",COUNTIF(Orders!B:B,A496))</f>
        <v/>
      </c>
      <c r="K496" s="5">
        <f>IF(A496="","",SUMIF(Orders!B:B,A496,Orders!K:K))</f>
        <v/>
      </c>
    </row>
    <row r="497">
      <c r="I497" s="5">
        <f>IFERROR(IF(MAXIFS(Orders!E:E,Orders!B:B,A497)=0,"",MAXIFS(Orders!E:E,Orders!B:B,A497)),"")</f>
        <v/>
      </c>
      <c r="J497" s="5">
        <f>IF(A497="","",COUNTIF(Orders!B:B,A497))</f>
        <v/>
      </c>
      <c r="K497" s="5">
        <f>IF(A497="","",SUMIF(Orders!B:B,A497,Orders!K:K))</f>
        <v/>
      </c>
    </row>
    <row r="498">
      <c r="I498" s="5">
        <f>IFERROR(IF(MAXIFS(Orders!E:E,Orders!B:B,A498)=0,"",MAXIFS(Orders!E:E,Orders!B:B,A498)),"")</f>
        <v/>
      </c>
      <c r="J498" s="5">
        <f>IF(A498="","",COUNTIF(Orders!B:B,A498))</f>
        <v/>
      </c>
      <c r="K498" s="5">
        <f>IF(A498="","",SUMIF(Orders!B:B,A498,Orders!K:K))</f>
        <v/>
      </c>
    </row>
    <row r="499">
      <c r="I499" s="5">
        <f>IFERROR(IF(MAXIFS(Orders!E:E,Orders!B:B,A499)=0,"",MAXIFS(Orders!E:E,Orders!B:B,A499)),"")</f>
        <v/>
      </c>
      <c r="J499" s="5">
        <f>IF(A499="","",COUNTIF(Orders!B:B,A499))</f>
        <v/>
      </c>
      <c r="K499" s="5">
        <f>IF(A499="","",SUMIF(Orders!B:B,A499,Orders!K:K))</f>
        <v/>
      </c>
    </row>
    <row r="500">
      <c r="I500" s="5">
        <f>IFERROR(IF(MAXIFS(Orders!E:E,Orders!B:B,A500)=0,"",MAXIFS(Orders!E:E,Orders!B:B,A500)),"")</f>
        <v/>
      </c>
      <c r="J500" s="5">
        <f>IF(A500="","",COUNTIF(Orders!B:B,A500))</f>
        <v/>
      </c>
      <c r="K500" s="5">
        <f>IF(A500="","",SUMIF(Orders!B:B,A500,Orders!K:K))</f>
        <v/>
      </c>
    </row>
    <row r="501">
      <c r="I501" s="5">
        <f>IFERROR(IF(MAXIFS(Orders!E:E,Orders!B:B,A501)=0,"",MAXIFS(Orders!E:E,Orders!B:B,A501)),"")</f>
        <v/>
      </c>
      <c r="J501" s="5">
        <f>IF(A501="","",COUNTIF(Orders!B:B,A501))</f>
        <v/>
      </c>
      <c r="K501" s="5">
        <f>IF(A501="","",SUMIF(Orders!B:B,A501,Orders!K:K))</f>
        <v/>
      </c>
    </row>
  </sheetData>
  <dataValidations count="2">
    <dataValidation sqref="G2:G1000" showDropDown="0" showInputMessage="0" showErrorMessage="0" allowBlank="1" type="list">
      <formula1>"Instagram,WhatsApp,Referral,Walk-in,Repeat"</formula1>
    </dataValidation>
    <dataValidation sqref="L2:L1000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2" customWidth="1" min="4" max="4"/>
    <col width="13" customWidth="1" min="5" max="5"/>
    <col width="11" customWidth="1" min="6" max="6"/>
    <col width="22" customWidth="1" min="7" max="7"/>
    <col width="16" customWidth="1" min="8" max="8"/>
    <col width="36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4" customWidth="1" min="15" max="15"/>
    <col width="18" customWidth="1" min="16" max="16"/>
    <col width="36" customWidth="1" min="17" max="17"/>
    <col width="18" customWidth="1" min="18" max="18"/>
    <col width="20" customWidth="1" min="19" max="19"/>
    <col width="13" customWidth="1" min="20" max="20"/>
    <col width="13" customWidth="1" min="21" max="21"/>
    <col width="13" customWidth="1" min="22" max="22"/>
    <col width="8" customWidth="1" min="23" max="23"/>
    <col width="32" customWidth="1" min="24" max="24"/>
    <col width="14" customWidth="1" min="25" max="25"/>
    <col width="28" customWidth="1" min="26" max="26"/>
  </cols>
  <sheetData>
    <row r="1" ht="36" customHeight="1">
      <c r="A1" s="4" t="inlineStr">
        <is>
          <t>Order ID</t>
        </is>
      </c>
      <c r="B1" s="4" t="inlineStr">
        <is>
          <t>Customer ID</t>
        </is>
      </c>
      <c r="C1" s="4" t="inlineStr">
        <is>
          <t>Name (auto)</t>
        </is>
      </c>
      <c r="D1" s="4" t="inlineStr">
        <is>
          <t>Order date</t>
        </is>
      </c>
      <c r="E1" s="4" t="inlineStr">
        <is>
          <t>Delivery date</t>
        </is>
      </c>
      <c r="F1" s="4" t="inlineStr">
        <is>
          <t>Product</t>
        </is>
      </c>
      <c r="G1" s="4" t="inlineStr">
        <is>
          <t>Flavour</t>
        </is>
      </c>
      <c r="H1" s="4" t="inlineStr">
        <is>
          <t>Size / Qty</t>
        </is>
      </c>
      <c r="I1" s="4" t="inlineStr">
        <is>
          <t>Customisation</t>
        </is>
      </c>
      <c r="J1" s="4" t="inlineStr">
        <is>
          <t>Quoted (₹)</t>
        </is>
      </c>
      <c r="K1" s="4" t="inlineStr">
        <is>
          <t>Final (₹)</t>
        </is>
      </c>
      <c r="L1" s="4" t="inlineStr">
        <is>
          <t>Deposit received (₹)</t>
        </is>
      </c>
      <c r="M1" s="4" t="inlineStr">
        <is>
          <t>Balance received (₹)</t>
        </is>
      </c>
      <c r="N1" s="4" t="inlineStr">
        <is>
          <t>Balance due (₹)</t>
        </is>
      </c>
      <c r="O1" s="4" t="inlineStr">
        <is>
          <t>Payment mode</t>
        </is>
      </c>
      <c r="P1" s="4" t="inlineStr">
        <is>
          <t>Delivery mode</t>
        </is>
      </c>
      <c r="Q1" s="4" t="inlineStr">
        <is>
          <t>Cold-chain notes</t>
        </is>
      </c>
      <c r="R1" s="4" t="inlineStr">
        <is>
          <t>UPI reference (UTR)</t>
        </is>
      </c>
      <c r="S1" s="4" t="inlineStr">
        <is>
          <t>Payer VPA</t>
        </is>
      </c>
      <c r="T1" s="4" t="inlineStr">
        <is>
          <t>Production</t>
        </is>
      </c>
      <c r="U1" s="4" t="inlineStr">
        <is>
          <t>Delivery</t>
        </is>
      </c>
      <c r="V1" s="4" t="inlineStr">
        <is>
          <t>Feedback received</t>
        </is>
      </c>
      <c r="W1" s="4" t="inlineStr">
        <is>
          <t>Rating</t>
        </is>
      </c>
      <c r="X1" s="4" t="inlineStr">
        <is>
          <t>Feedback</t>
        </is>
      </c>
      <c r="Y1" s="4" t="inlineStr">
        <is>
          <t>Invoice ID</t>
        </is>
      </c>
      <c r="Z1" s="4" t="inlineStr">
        <is>
          <t>Notes</t>
        </is>
      </c>
    </row>
    <row r="2">
      <c r="A2" s="5">
        <f>IF(B2="","","ORD-"&amp;TEXT(ROW()-1,"0000"))</f>
        <v/>
      </c>
      <c r="B2" s="7" t="inlineStr">
        <is>
          <t>CUS-0001</t>
        </is>
      </c>
      <c r="C2" s="5">
        <f>IFERROR(VLOOKUP(B2,Customers!A:B,2,FALSE),"")</f>
        <v/>
      </c>
      <c r="D2" s="6" t="n">
        <v>46040</v>
      </c>
      <c r="E2" s="6" t="n">
        <v>46044</v>
      </c>
      <c r="F2" s="7" t="inlineStr">
        <is>
          <t>Cake</t>
        </is>
      </c>
      <c r="G2" s="7" t="inlineStr">
        <is>
          <t>Eggless dark chocolate</t>
        </is>
      </c>
      <c r="H2" s="7" t="inlineStr">
        <is>
          <t>1.5kg</t>
        </is>
      </c>
      <c r="I2" s="7" t="inlineStr">
        <is>
          <t>Dinosaur theme for Veer's 5th — green/blue fondant</t>
        </is>
      </c>
      <c r="J2" s="7" t="n">
        <v>2800</v>
      </c>
      <c r="K2" s="7" t="n">
        <v>2800</v>
      </c>
      <c r="L2" s="7" t="n">
        <v>1400</v>
      </c>
      <c r="M2" s="7" t="n">
        <v>1400</v>
      </c>
      <c r="N2" s="5">
        <f>IF(K2="","",K2-IFERROR(L2,0)-IFERROR(M2,0))</f>
        <v/>
      </c>
      <c r="O2" s="7" t="inlineStr">
        <is>
          <t>UPI</t>
        </is>
      </c>
      <c r="P2" s="7" t="inlineStr">
        <is>
          <t>Own delivery</t>
        </is>
      </c>
      <c r="Q2" s="7" t="inlineStr">
        <is>
          <t>Delivered 10am — Hyderabad winter, no cold-chain concern</t>
        </is>
      </c>
      <c r="R2" s="7" t="inlineStr">
        <is>
          <t>422118203341</t>
        </is>
      </c>
      <c r="S2" s="7" t="inlineStr">
        <is>
          <t>arjun.mehta@oksbi</t>
        </is>
      </c>
      <c r="T2" s="7" t="inlineStr">
        <is>
          <t>Done</t>
        </is>
      </c>
      <c r="U2" s="7" t="inlineStr">
        <is>
          <t>Delivered</t>
        </is>
      </c>
      <c r="V2" s="7" t="inlineStr">
        <is>
          <t>Y</t>
        </is>
      </c>
      <c r="W2" s="7" t="n">
        <v>5</v>
      </c>
      <c r="X2" s="7" t="inlineStr">
        <is>
          <t>Veer wouldn't stop talking about it. Will reorder.</t>
        </is>
      </c>
      <c r="Z2" s="7" t="inlineStr">
        <is>
          <t>First order</t>
        </is>
      </c>
    </row>
    <row r="3">
      <c r="A3" s="5">
        <f>IF(B3="","","ORD-"&amp;TEXT(ROW()-1,"0000"))</f>
        <v/>
      </c>
      <c r="B3" s="7" t="inlineStr">
        <is>
          <t>CUS-0002</t>
        </is>
      </c>
      <c r="C3" s="5">
        <f>IFERROR(VLOOKUP(B3,Customers!A:B,2,FALSE),"")</f>
        <v/>
      </c>
      <c r="D3" s="6" t="n">
        <v>46067</v>
      </c>
      <c r="E3" s="6" t="n">
        <v>46069</v>
      </c>
      <c r="F3" s="7" t="inlineStr">
        <is>
          <t>Cupcakes</t>
        </is>
      </c>
      <c r="G3" s="7" t="inlineStr">
        <is>
          <t>Red velvet with cream cheese</t>
        </is>
      </c>
      <c r="H3" s="7" t="inlineStr">
        <is>
          <t>12 (1 dozen)</t>
        </is>
      </c>
      <c r="I3" s="7" t="inlineStr">
        <is>
          <t>Heart-shape liners; gold sprinkles for Valentine's</t>
        </is>
      </c>
      <c r="J3" s="7" t="n">
        <v>1500</v>
      </c>
      <c r="K3" s="7" t="n">
        <v>1500</v>
      </c>
      <c r="L3" s="7" t="n">
        <v>500</v>
      </c>
      <c r="M3" s="7" t="n">
        <v>1000</v>
      </c>
      <c r="N3" s="5">
        <f>IF(K3="","",K3-IFERROR(L3,0)-IFERROR(M3,0))</f>
        <v/>
      </c>
      <c r="O3" s="7" t="inlineStr">
        <is>
          <t>UPI</t>
        </is>
      </c>
      <c r="P3" s="7" t="inlineStr">
        <is>
          <t>Customer pickup</t>
        </is>
      </c>
      <c r="Q3" s="7" t="inlineStr">
        <is>
          <t>Picked up by Priya herself at 9:30am</t>
        </is>
      </c>
      <c r="R3" s="7" t="inlineStr">
        <is>
          <t>431229104852</t>
        </is>
      </c>
      <c r="S3" s="7" t="inlineStr">
        <is>
          <t>priya.r@okhdfcbank</t>
        </is>
      </c>
      <c r="T3" s="7" t="inlineStr">
        <is>
          <t>Done</t>
        </is>
      </c>
      <c r="U3" s="7" t="inlineStr">
        <is>
          <t>Delivered</t>
        </is>
      </c>
      <c r="V3" s="7" t="inlineStr">
        <is>
          <t>Y</t>
        </is>
      </c>
      <c r="W3" s="7" t="n">
        <v>5</v>
      </c>
      <c r="X3" s="7" t="inlineStr">
        <is>
          <t>Beautifully done!</t>
        </is>
      </c>
    </row>
    <row r="4">
      <c r="A4" s="5">
        <f>IF(B4="","","ORD-"&amp;TEXT(ROW()-1,"0000"))</f>
        <v/>
      </c>
      <c r="B4" s="7" t="inlineStr">
        <is>
          <t>CUS-0003</t>
        </is>
      </c>
      <c r="C4" s="5">
        <f>IFERROR(VLOOKUP(B4,Customers!A:B,2,FALSE),"")</f>
        <v/>
      </c>
      <c r="D4" s="6" t="n">
        <v>45991</v>
      </c>
      <c r="E4" s="6" t="n">
        <v>45993</v>
      </c>
      <c r="F4" s="7" t="inlineStr">
        <is>
          <t>Cake</t>
        </is>
      </c>
      <c r="G4" s="7" t="inlineStr">
        <is>
          <t>Pineapple sponge</t>
        </is>
      </c>
      <c r="H4" s="7" t="inlineStr">
        <is>
          <t>1kg</t>
        </is>
      </c>
      <c r="I4" s="7" t="inlineStr">
        <is>
          <t>Office anniversary cake — 'Cordant 11 yrs' topper</t>
        </is>
      </c>
      <c r="J4" s="7" t="n">
        <v>2000</v>
      </c>
      <c r="K4" s="7" t="n">
        <v>2000</v>
      </c>
      <c r="L4" s="7" t="n">
        <v>0</v>
      </c>
      <c r="M4" s="7" t="n">
        <v>2000</v>
      </c>
      <c r="N4" s="5">
        <f>IF(K4="","",K4-IFERROR(L4,0)-IFERROR(M4,0))</f>
        <v/>
      </c>
      <c r="O4" s="7" t="inlineStr">
        <is>
          <t>Bank Transfer</t>
        </is>
      </c>
      <c r="P4" s="7" t="inlineStr">
        <is>
          <t>Porter</t>
        </is>
      </c>
      <c r="Q4" s="7" t="inlineStr">
        <is>
          <t>Porter at 4pm; office address Salarpuria Sattva Knowledge City</t>
        </is>
      </c>
      <c r="R4" s="7" t="inlineStr">
        <is>
          <t>4321XXXX5678</t>
        </is>
      </c>
      <c r="S4" s="7" t="inlineStr">
        <is>
          <t>bank-transfer</t>
        </is>
      </c>
      <c r="T4" s="7" t="inlineStr">
        <is>
          <t>Done</t>
        </is>
      </c>
      <c r="U4" s="7" t="inlineStr">
        <is>
          <t>Delivered</t>
        </is>
      </c>
      <c r="V4" s="7" t="inlineStr">
        <is>
          <t>Y</t>
        </is>
      </c>
      <c r="W4" s="7" t="n">
        <v>4</v>
      </c>
      <c r="X4" s="7" t="inlineStr">
        <is>
          <t>Sponge a bit dense — feedback noted</t>
        </is>
      </c>
      <c r="Z4" s="7" t="inlineStr">
        <is>
          <t>Office order</t>
        </is>
      </c>
    </row>
    <row r="5">
      <c r="A5" s="5">
        <f>IF(B5="","","ORD-"&amp;TEXT(ROW()-1,"0000"))</f>
        <v/>
      </c>
      <c r="B5" s="7" t="inlineStr">
        <is>
          <t>CUS-0004</t>
        </is>
      </c>
      <c r="C5" s="5">
        <f>IFERROR(VLOOKUP(B5,Customers!A:B,2,FALSE),"")</f>
        <v/>
      </c>
      <c r="D5" s="6" t="n">
        <v>46086</v>
      </c>
      <c r="E5" s="6" t="n">
        <v>46090</v>
      </c>
      <c r="F5" s="7" t="inlineStr">
        <is>
          <t>Cake</t>
        </is>
      </c>
      <c r="G5" s="7" t="inlineStr">
        <is>
          <t>Jain eggless red velvet</t>
        </is>
      </c>
      <c r="H5" s="7" t="inlineStr">
        <is>
          <t>2kg</t>
        </is>
      </c>
      <c r="I5" s="7" t="inlineStr">
        <is>
          <t>Unicorn theme for daughter Myra's 6th; pastel pink/purple; no fondant figures</t>
        </is>
      </c>
      <c r="J5" s="7" t="n">
        <v>4500</v>
      </c>
      <c r="K5" s="7" t="n">
        <v>4500</v>
      </c>
      <c r="L5" s="7" t="n">
        <v>2000</v>
      </c>
      <c r="M5" s="7" t="n">
        <v>2500</v>
      </c>
      <c r="N5" s="5">
        <f>IF(K5="","",K5-IFERROR(L5,0)-IFERROR(M5,0))</f>
        <v/>
      </c>
      <c r="O5" s="7" t="inlineStr">
        <is>
          <t>UPI</t>
        </is>
      </c>
      <c r="P5" s="7" t="inlineStr">
        <is>
          <t>Own delivery</t>
        </is>
      </c>
      <c r="Q5" s="7" t="inlineStr">
        <is>
          <t>Insulated box + 4 ice packs; Provincia to Eterna route, ~12 min</t>
        </is>
      </c>
      <c r="R5" s="7" t="inlineStr">
        <is>
          <t>445533781290</t>
        </is>
      </c>
      <c r="S5" s="7" t="inlineStr">
        <is>
          <t>anjali.a@okaxis</t>
        </is>
      </c>
      <c r="T5" s="7" t="inlineStr">
        <is>
          <t>Done</t>
        </is>
      </c>
      <c r="U5" s="7" t="inlineStr">
        <is>
          <t>Delivered</t>
        </is>
      </c>
      <c r="V5" s="7" t="inlineStr">
        <is>
          <t>Y</t>
        </is>
      </c>
      <c r="W5" s="7" t="n">
        <v>5</v>
      </c>
      <c r="X5" s="7" t="inlineStr">
        <is>
          <t>Worth every rupee. Eggless and still rich.</t>
        </is>
      </c>
      <c r="Z5" s="7" t="inlineStr">
        <is>
          <t>Premium order — repeat likely</t>
        </is>
      </c>
    </row>
    <row r="6">
      <c r="A6" s="5">
        <f>IF(B6="","","ORD-"&amp;TEXT(ROW()-1,"0000"))</f>
        <v/>
      </c>
      <c r="B6" s="7" t="inlineStr">
        <is>
          <t>CUS-0005</t>
        </is>
      </c>
      <c r="C6" s="5">
        <f>IFERROR(VLOOKUP(B6,Customers!A:B,2,FALSE),"")</f>
        <v/>
      </c>
      <c r="D6" s="6" t="n">
        <v>46019</v>
      </c>
      <c r="E6" s="6" t="n">
        <v>46020</v>
      </c>
      <c r="F6" s="7" t="inlineStr">
        <is>
          <t>Cake</t>
        </is>
      </c>
      <c r="G6" s="7" t="inlineStr">
        <is>
          <t>Chocolate truffle</t>
        </is>
      </c>
      <c r="H6" s="7" t="inlineStr">
        <is>
          <t>1kg</t>
        </is>
      </c>
      <c r="I6" s="7" t="inlineStr">
        <is>
          <t>Anniversary — 'R &amp; N — 8 years' message</t>
        </is>
      </c>
      <c r="J6" s="7" t="n">
        <v>1800</v>
      </c>
      <c r="K6" s="7" t="n">
        <v>1800</v>
      </c>
      <c r="L6" s="7" t="n">
        <v>0</v>
      </c>
      <c r="M6" s="7" t="n">
        <v>1800</v>
      </c>
      <c r="N6" s="5">
        <f>IF(K6="","",K6-IFERROR(L6,0)-IFERROR(M6,0))</f>
        <v/>
      </c>
      <c r="O6" s="7" t="inlineStr">
        <is>
          <t>UPI</t>
        </is>
      </c>
      <c r="P6" s="7" t="inlineStr">
        <is>
          <t>Own delivery</t>
        </is>
      </c>
      <c r="Q6" s="7" t="inlineStr">
        <is>
          <t>Same-day winter delivery, no issues</t>
        </is>
      </c>
      <c r="R6" s="7" t="inlineStr">
        <is>
          <t>449988102345</t>
        </is>
      </c>
      <c r="S6" s="7" t="inlineStr">
        <is>
          <t>rohan.k@okicici</t>
        </is>
      </c>
      <c r="T6" s="7" t="inlineStr">
        <is>
          <t>Done</t>
        </is>
      </c>
      <c r="U6" s="7" t="inlineStr">
        <is>
          <t>Delivered</t>
        </is>
      </c>
      <c r="V6" s="7" t="inlineStr">
        <is>
          <t>N</t>
        </is>
      </c>
      <c r="Z6" s="7" t="inlineStr">
        <is>
          <t>Rush job (1-day notice) — fine because winter</t>
        </is>
      </c>
    </row>
    <row r="7">
      <c r="A7" s="5">
        <f>IF(B7="","","ORD-"&amp;TEXT(ROW()-1,"0000"))</f>
        <v/>
      </c>
      <c r="B7" s="7" t="inlineStr">
        <is>
          <t>CUS-0007</t>
        </is>
      </c>
      <c r="C7" s="5">
        <f>IFERROR(VLOOKUP(B7,Customers!A:B,2,FALSE),"")</f>
        <v/>
      </c>
      <c r="D7" s="6" t="n">
        <v>46156</v>
      </c>
      <c r="E7" s="6" t="n">
        <v>46160</v>
      </c>
      <c r="F7" s="7" t="inlineStr">
        <is>
          <t>Cake Tub</t>
        </is>
      </c>
      <c r="G7" s="7" t="inlineStr">
        <is>
          <t>Tiramisu + Biscoff mix</t>
        </is>
      </c>
      <c r="H7" s="7" t="inlineStr">
        <is>
          <t>6 tubs (assorted)</t>
        </is>
      </c>
      <c r="I7" s="7" t="inlineStr">
        <is>
          <t>Trial run before Diwali bulk order — Sandeep evaluating quality</t>
        </is>
      </c>
      <c r="J7" s="7" t="n">
        <v>3000</v>
      </c>
      <c r="K7" s="7" t="n">
        <v>3000</v>
      </c>
      <c r="L7" s="7" t="n">
        <v>1500</v>
      </c>
      <c r="M7" s="7" t="n">
        <v>1500</v>
      </c>
      <c r="N7" s="5">
        <f>IF(K7="","",K7-IFERROR(L7,0)-IFERROR(M7,0))</f>
        <v/>
      </c>
      <c r="O7" s="7" t="inlineStr">
        <is>
          <t>UPI</t>
        </is>
      </c>
      <c r="P7" s="7" t="inlineStr">
        <is>
          <t>Own delivery</t>
        </is>
      </c>
      <c r="Q7" s="7" t="inlineStr">
        <is>
          <t>Tubs delivered cold; insulated bag + 2 ice packs</t>
        </is>
      </c>
      <c r="R7" s="7" t="inlineStr">
        <is>
          <t>520011445566</t>
        </is>
      </c>
      <c r="S7" s="7" t="inlineStr">
        <is>
          <t>sandeep.g@okhdfcbank</t>
        </is>
      </c>
      <c r="T7" s="7" t="inlineStr">
        <is>
          <t>Done</t>
        </is>
      </c>
      <c r="U7" s="7" t="inlineStr">
        <is>
          <t>Delivered</t>
        </is>
      </c>
      <c r="V7" s="7" t="inlineStr">
        <is>
          <t>Y</t>
        </is>
      </c>
      <c r="W7" s="7" t="n">
        <v>5</v>
      </c>
      <c r="X7" s="7" t="inlineStr">
        <is>
          <t>Tiramisu nailed it. Let's plan Diwali boxes.</t>
        </is>
      </c>
      <c r="Z7" s="7" t="inlineStr">
        <is>
          <t>Diwali pipeline trigger</t>
        </is>
      </c>
    </row>
    <row r="8">
      <c r="A8" s="5">
        <f>IF(B8="","","ORD-"&amp;TEXT(ROW()-1,"0000"))</f>
        <v/>
      </c>
      <c r="B8" s="7" t="inlineStr">
        <is>
          <t>CUS-0008</t>
        </is>
      </c>
      <c r="C8" s="5">
        <f>IFERROR(VLOOKUP(B8,Customers!A:B,2,FALSE),"")</f>
        <v/>
      </c>
      <c r="D8" s="6" t="n">
        <v>46160</v>
      </c>
      <c r="E8" s="6" t="n">
        <v>46164</v>
      </c>
      <c r="F8" s="7" t="inlineStr">
        <is>
          <t>Cake</t>
        </is>
      </c>
      <c r="G8" s="7" t="inlineStr">
        <is>
          <t>Eggless butterscotch</t>
        </is>
      </c>
      <c r="H8" s="7" t="inlineStr">
        <is>
          <t>1kg</t>
        </is>
      </c>
      <c r="I8" s="7" t="inlineStr">
        <is>
          <t>Sneha's birthday — minimalist gold + white, no piping figures</t>
        </is>
      </c>
      <c r="J8" s="7" t="n">
        <v>2200</v>
      </c>
      <c r="K8" s="7" t="n">
        <v>2200</v>
      </c>
      <c r="L8" s="7" t="n">
        <v>1100</v>
      </c>
      <c r="M8" s="7" t="n">
        <v>1100</v>
      </c>
      <c r="N8" s="5">
        <f>IF(K8="","",K8-IFERROR(L8,0)-IFERROR(M8,0))</f>
        <v/>
      </c>
      <c r="O8" s="7" t="inlineStr">
        <is>
          <t>UPI</t>
        </is>
      </c>
      <c r="P8" s="7" t="inlineStr">
        <is>
          <t>Own delivery</t>
        </is>
      </c>
      <c r="Q8" s="7" t="inlineStr">
        <is>
          <t>Pickup before 11am — Hyderabad summer, 38°C forecast</t>
        </is>
      </c>
      <c r="R8" s="7" t="inlineStr">
        <is>
          <t>521122876543</t>
        </is>
      </c>
      <c r="S8" s="7" t="inlineStr">
        <is>
          <t>sneha.i@oksbi</t>
        </is>
      </c>
      <c r="T8" s="7" t="inlineStr">
        <is>
          <t>Done</t>
        </is>
      </c>
      <c r="U8" s="7" t="inlineStr">
        <is>
          <t>Delivered</t>
        </is>
      </c>
      <c r="V8" s="7" t="inlineStr">
        <is>
          <t>N</t>
        </is>
      </c>
      <c r="Z8" s="7" t="inlineStr">
        <is>
          <t>T+2 feedback request due today</t>
        </is>
      </c>
    </row>
    <row r="9">
      <c r="A9" s="5">
        <f>IF(B9="","","ORD-"&amp;TEXT(ROW()-1,"0000"))</f>
        <v/>
      </c>
      <c r="B9" s="7" t="inlineStr">
        <is>
          <t>CUS-0009</t>
        </is>
      </c>
      <c r="C9" s="5">
        <f>IFERROR(VLOOKUP(B9,Customers!A:B,2,FALSE),"")</f>
        <v/>
      </c>
      <c r="D9" s="6" t="n">
        <v>46164</v>
      </c>
      <c r="E9" s="6" t="n">
        <v>46169</v>
      </c>
      <c r="F9" s="7" t="inlineStr">
        <is>
          <t>Cake</t>
        </is>
      </c>
      <c r="G9" s="7" t="inlineStr">
        <is>
          <t>Chocolate hazelnut</t>
        </is>
      </c>
      <c r="H9" s="7" t="inlineStr">
        <is>
          <t>2kg</t>
        </is>
      </c>
      <c r="I9" s="7" t="inlineStr">
        <is>
          <t>Vikram &amp; wife's 10th anniversary — gold drip, photo on top</t>
        </is>
      </c>
      <c r="J9" s="7" t="n">
        <v>3500</v>
      </c>
      <c r="K9" s="7" t="n">
        <v>3500</v>
      </c>
      <c r="L9" s="7" t="n">
        <v>1500</v>
      </c>
      <c r="M9" s="7" t="n">
        <v>0</v>
      </c>
      <c r="N9" s="5">
        <f>IF(K9="","",K9-IFERROR(L9,0)-IFERROR(M9,0))</f>
        <v/>
      </c>
      <c r="O9" s="7" t="inlineStr">
        <is>
          <t>UPI</t>
        </is>
      </c>
      <c r="P9" s="7" t="inlineStr">
        <is>
          <t>Own delivery</t>
        </is>
      </c>
      <c r="Q9" s="7" t="inlineStr">
        <is>
          <t>Will be 39°C; insulated + ice packs; AM slot booked</t>
        </is>
      </c>
      <c r="R9" s="7" t="inlineStr">
        <is>
          <t>522233998877</t>
        </is>
      </c>
      <c r="S9" s="7" t="inlineStr">
        <is>
          <t>vikram.b@okhdfcbank</t>
        </is>
      </c>
      <c r="T9" s="7" t="inlineStr">
        <is>
          <t>Decorate</t>
        </is>
      </c>
      <c r="U9" s="7" t="inlineStr">
        <is>
          <t>Pending</t>
        </is>
      </c>
      <c r="V9" s="7" t="inlineStr">
        <is>
          <t>N</t>
        </is>
      </c>
      <c r="Z9" s="7" t="inlineStr">
        <is>
          <t>Photo edible-print to source by 25 May</t>
        </is>
      </c>
    </row>
    <row r="10">
      <c r="A10" s="5">
        <f>IF(B10="","","ORD-"&amp;TEXT(ROW()-1,"0000"))</f>
        <v/>
      </c>
      <c r="B10" s="7" t="inlineStr">
        <is>
          <t>CUS-0002</t>
        </is>
      </c>
      <c r="C10" s="5">
        <f>IFERROR(VLOOKUP(B10,Customers!A:B,2,FALSE),"")</f>
        <v/>
      </c>
      <c r="D10" s="6" t="n">
        <v>46165</v>
      </c>
      <c r="E10" s="6" t="n">
        <v>46172</v>
      </c>
      <c r="F10" s="7" t="inlineStr">
        <is>
          <t>Cake</t>
        </is>
      </c>
      <c r="G10" s="7" t="inlineStr">
        <is>
          <t>Eggless chocolate</t>
        </is>
      </c>
      <c r="H10" s="7" t="inlineStr">
        <is>
          <t>2kg</t>
        </is>
      </c>
      <c r="I10" s="7" t="inlineStr">
        <is>
          <t>Aarav (kid) turning 7 — Spider-Man theme; red/blue fondant</t>
        </is>
      </c>
      <c r="J10" s="7" t="n">
        <v>3200</v>
      </c>
      <c r="K10" s="7" t="n">
        <v>3200</v>
      </c>
      <c r="L10" s="7" t="n">
        <v>1500</v>
      </c>
      <c r="M10" s="7" t="n">
        <v>0</v>
      </c>
      <c r="N10" s="5">
        <f>IF(K10="","",K10-IFERROR(L10,0)-IFERROR(M10,0))</f>
        <v/>
      </c>
      <c r="O10" s="7" t="inlineStr">
        <is>
          <t>UPI</t>
        </is>
      </c>
      <c r="P10" s="7" t="inlineStr">
        <is>
          <t>Own delivery</t>
        </is>
      </c>
      <c r="Q10" s="7" t="inlineStr">
        <is>
          <t>Saturday morning slot — heat, insulated box mandatory</t>
        </is>
      </c>
      <c r="R10" s="7" t="inlineStr">
        <is>
          <t>522288554433</t>
        </is>
      </c>
      <c r="S10" s="7" t="inlineStr">
        <is>
          <t>priya.r@okhdfcbank</t>
        </is>
      </c>
      <c r="T10" s="7" t="inlineStr">
        <is>
          <t>Queued</t>
        </is>
      </c>
      <c r="U10" s="7" t="inlineStr">
        <is>
          <t>Pending</t>
        </is>
      </c>
      <c r="V10" s="7" t="inlineStr">
        <is>
          <t>N</t>
        </is>
      </c>
    </row>
    <row r="11">
      <c r="A11" s="5">
        <f>IF(B11="","","ORD-"&amp;TEXT(ROW()-1,"0000"))</f>
        <v/>
      </c>
      <c r="B11" s="7" t="inlineStr">
        <is>
          <t>CUS-0010</t>
        </is>
      </c>
      <c r="C11" s="5">
        <f>IFERROR(VLOOKUP(B11,Customers!A:B,2,FALSE),"")</f>
        <v/>
      </c>
      <c r="D11" s="6" t="n">
        <v>46164</v>
      </c>
      <c r="E11" s="6" t="n">
        <v>46173</v>
      </c>
      <c r="F11" s="7" t="inlineStr">
        <is>
          <t>Bomboloni</t>
        </is>
      </c>
      <c r="G11" s="7" t="inlineStr">
        <is>
          <t>Pistachio + Nutella (mixed box)</t>
        </is>
      </c>
      <c r="H11" s="7" t="inlineStr">
        <is>
          <t>12 (1 box of 12)</t>
        </is>
      </c>
      <c r="I11" s="7" t="inlineStr">
        <is>
          <t>Dinner-party box; Saturday evening pickup</t>
        </is>
      </c>
      <c r="J11" s="7" t="n">
        <v>1400</v>
      </c>
      <c r="K11" s="7" t="n">
        <v>1400</v>
      </c>
      <c r="L11" s="7" t="n">
        <v>700</v>
      </c>
      <c r="M11" s="7" t="n">
        <v>0</v>
      </c>
      <c r="N11" s="5">
        <f>IF(K11="","",K11-IFERROR(L11,0)-IFERROR(M11,0))</f>
        <v/>
      </c>
      <c r="O11" s="7" t="inlineStr">
        <is>
          <t>UPI</t>
        </is>
      </c>
      <c r="P11" s="7" t="inlineStr">
        <is>
          <t>Customer pickup</t>
        </is>
      </c>
      <c r="Q11" s="7" t="inlineStr">
        <is>
          <t>Pickup at 6pm; bomboloni hold 4h boxed</t>
        </is>
      </c>
      <c r="R11" s="7" t="inlineStr">
        <is>
          <t>523344112266</t>
        </is>
      </c>
      <c r="S11" s="7" t="inlineStr">
        <is>
          <t>aditi.s@oksbi</t>
        </is>
      </c>
      <c r="T11" s="7" t="inlineStr">
        <is>
          <t>Queued</t>
        </is>
      </c>
      <c r="U11" s="7" t="inlineStr">
        <is>
          <t>Pending</t>
        </is>
      </c>
      <c r="V11" s="7" t="inlineStr">
        <is>
          <t>N</t>
        </is>
      </c>
      <c r="Z11" s="7" t="inlineStr">
        <is>
          <t>Aditi's first order</t>
        </is>
      </c>
    </row>
    <row r="12">
      <c r="A12" s="5">
        <f>IF(B12="","","ORD-"&amp;TEXT(ROW()-1,"0000"))</f>
        <v/>
      </c>
      <c r="C12" s="5">
        <f>IFERROR(VLOOKUP(B12,Customers!A:B,2,FALSE),"")</f>
        <v/>
      </c>
      <c r="N12" s="5">
        <f>IF(K12="","",K12-IFERROR(L12,0)-IFERROR(M12,0))</f>
        <v/>
      </c>
    </row>
    <row r="13">
      <c r="A13" s="5">
        <f>IF(B13="","","ORD-"&amp;TEXT(ROW()-1,"0000"))</f>
        <v/>
      </c>
      <c r="C13" s="5">
        <f>IFERROR(VLOOKUP(B13,Customers!A:B,2,FALSE),"")</f>
        <v/>
      </c>
      <c r="N13" s="5">
        <f>IF(K13="","",K13-IFERROR(L13,0)-IFERROR(M13,0))</f>
        <v/>
      </c>
    </row>
    <row r="14">
      <c r="A14" s="5">
        <f>IF(B14="","","ORD-"&amp;TEXT(ROW()-1,"0000"))</f>
        <v/>
      </c>
      <c r="C14" s="5">
        <f>IFERROR(VLOOKUP(B14,Customers!A:B,2,FALSE),"")</f>
        <v/>
      </c>
      <c r="N14" s="5">
        <f>IF(K14="","",K14-IFERROR(L14,0)-IFERROR(M14,0))</f>
        <v/>
      </c>
    </row>
    <row r="15">
      <c r="A15" s="5">
        <f>IF(B15="","","ORD-"&amp;TEXT(ROW()-1,"0000"))</f>
        <v/>
      </c>
      <c r="C15" s="5">
        <f>IFERROR(VLOOKUP(B15,Customers!A:B,2,FALSE),"")</f>
        <v/>
      </c>
      <c r="N15" s="5">
        <f>IF(K15="","",K15-IFERROR(L15,0)-IFERROR(M15,0))</f>
        <v/>
      </c>
    </row>
    <row r="16">
      <c r="A16" s="5">
        <f>IF(B16="","","ORD-"&amp;TEXT(ROW()-1,"0000"))</f>
        <v/>
      </c>
      <c r="C16" s="5">
        <f>IFERROR(VLOOKUP(B16,Customers!A:B,2,FALSE),"")</f>
        <v/>
      </c>
      <c r="N16" s="5">
        <f>IF(K16="","",K16-IFERROR(L16,0)-IFERROR(M16,0))</f>
        <v/>
      </c>
    </row>
    <row r="17">
      <c r="A17" s="5">
        <f>IF(B17="","","ORD-"&amp;TEXT(ROW()-1,"0000"))</f>
        <v/>
      </c>
      <c r="C17" s="5">
        <f>IFERROR(VLOOKUP(B17,Customers!A:B,2,FALSE),"")</f>
        <v/>
      </c>
      <c r="N17" s="5">
        <f>IF(K17="","",K17-IFERROR(L17,0)-IFERROR(M17,0))</f>
        <v/>
      </c>
    </row>
    <row r="18">
      <c r="A18" s="5">
        <f>IF(B18="","","ORD-"&amp;TEXT(ROW()-1,"0000"))</f>
        <v/>
      </c>
      <c r="C18" s="5">
        <f>IFERROR(VLOOKUP(B18,Customers!A:B,2,FALSE),"")</f>
        <v/>
      </c>
      <c r="N18" s="5">
        <f>IF(K18="","",K18-IFERROR(L18,0)-IFERROR(M18,0))</f>
        <v/>
      </c>
    </row>
    <row r="19">
      <c r="A19" s="5">
        <f>IF(B19="","","ORD-"&amp;TEXT(ROW()-1,"0000"))</f>
        <v/>
      </c>
      <c r="C19" s="5">
        <f>IFERROR(VLOOKUP(B19,Customers!A:B,2,FALSE),"")</f>
        <v/>
      </c>
      <c r="N19" s="5">
        <f>IF(K19="","",K19-IFERROR(L19,0)-IFERROR(M19,0))</f>
        <v/>
      </c>
    </row>
    <row r="20">
      <c r="A20" s="5">
        <f>IF(B20="","","ORD-"&amp;TEXT(ROW()-1,"0000"))</f>
        <v/>
      </c>
      <c r="C20" s="5">
        <f>IFERROR(VLOOKUP(B20,Customers!A:B,2,FALSE),"")</f>
        <v/>
      </c>
      <c r="N20" s="5">
        <f>IF(K20="","",K20-IFERROR(L20,0)-IFERROR(M20,0))</f>
        <v/>
      </c>
    </row>
    <row r="21">
      <c r="A21" s="5">
        <f>IF(B21="","","ORD-"&amp;TEXT(ROW()-1,"0000"))</f>
        <v/>
      </c>
      <c r="C21" s="5">
        <f>IFERROR(VLOOKUP(B21,Customers!A:B,2,FALSE),"")</f>
        <v/>
      </c>
      <c r="N21" s="5">
        <f>IF(K21="","",K21-IFERROR(L21,0)-IFERROR(M21,0))</f>
        <v/>
      </c>
    </row>
    <row r="22">
      <c r="A22" s="5">
        <f>IF(B22="","","ORD-"&amp;TEXT(ROW()-1,"0000"))</f>
        <v/>
      </c>
      <c r="C22" s="5">
        <f>IFERROR(VLOOKUP(B22,Customers!A:B,2,FALSE),"")</f>
        <v/>
      </c>
      <c r="N22" s="5">
        <f>IF(K22="","",K22-IFERROR(L22,0)-IFERROR(M22,0))</f>
        <v/>
      </c>
    </row>
    <row r="23">
      <c r="A23" s="5">
        <f>IF(B23="","","ORD-"&amp;TEXT(ROW()-1,"0000"))</f>
        <v/>
      </c>
      <c r="C23" s="5">
        <f>IFERROR(VLOOKUP(B23,Customers!A:B,2,FALSE),"")</f>
        <v/>
      </c>
      <c r="N23" s="5">
        <f>IF(K23="","",K23-IFERROR(L23,0)-IFERROR(M23,0))</f>
        <v/>
      </c>
    </row>
    <row r="24">
      <c r="A24" s="5">
        <f>IF(B24="","","ORD-"&amp;TEXT(ROW()-1,"0000"))</f>
        <v/>
      </c>
      <c r="C24" s="5">
        <f>IFERROR(VLOOKUP(B24,Customers!A:B,2,FALSE),"")</f>
        <v/>
      </c>
      <c r="N24" s="5">
        <f>IF(K24="","",K24-IFERROR(L24,0)-IFERROR(M24,0))</f>
        <v/>
      </c>
    </row>
    <row r="25">
      <c r="A25" s="5">
        <f>IF(B25="","","ORD-"&amp;TEXT(ROW()-1,"0000"))</f>
        <v/>
      </c>
      <c r="C25" s="5">
        <f>IFERROR(VLOOKUP(B25,Customers!A:B,2,FALSE),"")</f>
        <v/>
      </c>
      <c r="N25" s="5">
        <f>IF(K25="","",K25-IFERROR(L25,0)-IFERROR(M25,0))</f>
        <v/>
      </c>
    </row>
    <row r="26">
      <c r="A26" s="5">
        <f>IF(B26="","","ORD-"&amp;TEXT(ROW()-1,"0000"))</f>
        <v/>
      </c>
      <c r="C26" s="5">
        <f>IFERROR(VLOOKUP(B26,Customers!A:B,2,FALSE),"")</f>
        <v/>
      </c>
      <c r="N26" s="5">
        <f>IF(K26="","",K26-IFERROR(L26,0)-IFERROR(M26,0))</f>
        <v/>
      </c>
    </row>
    <row r="27">
      <c r="A27" s="5">
        <f>IF(B27="","","ORD-"&amp;TEXT(ROW()-1,"0000"))</f>
        <v/>
      </c>
      <c r="C27" s="5">
        <f>IFERROR(VLOOKUP(B27,Customers!A:B,2,FALSE),"")</f>
        <v/>
      </c>
      <c r="N27" s="5">
        <f>IF(K27="","",K27-IFERROR(L27,0)-IFERROR(M27,0))</f>
        <v/>
      </c>
    </row>
    <row r="28">
      <c r="A28" s="5">
        <f>IF(B28="","","ORD-"&amp;TEXT(ROW()-1,"0000"))</f>
        <v/>
      </c>
      <c r="C28" s="5">
        <f>IFERROR(VLOOKUP(B28,Customers!A:B,2,FALSE),"")</f>
        <v/>
      </c>
      <c r="N28" s="5">
        <f>IF(K28="","",K28-IFERROR(L28,0)-IFERROR(M28,0))</f>
        <v/>
      </c>
    </row>
    <row r="29">
      <c r="A29" s="5">
        <f>IF(B29="","","ORD-"&amp;TEXT(ROW()-1,"0000"))</f>
        <v/>
      </c>
      <c r="C29" s="5">
        <f>IFERROR(VLOOKUP(B29,Customers!A:B,2,FALSE),"")</f>
        <v/>
      </c>
      <c r="N29" s="5">
        <f>IF(K29="","",K29-IFERROR(L29,0)-IFERROR(M29,0))</f>
        <v/>
      </c>
    </row>
    <row r="30">
      <c r="A30" s="5">
        <f>IF(B30="","","ORD-"&amp;TEXT(ROW()-1,"0000"))</f>
        <v/>
      </c>
      <c r="C30" s="5">
        <f>IFERROR(VLOOKUP(B30,Customers!A:B,2,FALSE),"")</f>
        <v/>
      </c>
      <c r="N30" s="5">
        <f>IF(K30="","",K30-IFERROR(L30,0)-IFERROR(M30,0))</f>
        <v/>
      </c>
    </row>
    <row r="31">
      <c r="A31" s="5">
        <f>IF(B31="","","ORD-"&amp;TEXT(ROW()-1,"0000"))</f>
        <v/>
      </c>
      <c r="C31" s="5">
        <f>IFERROR(VLOOKUP(B31,Customers!A:B,2,FALSE),"")</f>
        <v/>
      </c>
      <c r="N31" s="5">
        <f>IF(K31="","",K31-IFERROR(L31,0)-IFERROR(M31,0))</f>
        <v/>
      </c>
    </row>
    <row r="32">
      <c r="A32" s="5">
        <f>IF(B32="","","ORD-"&amp;TEXT(ROW()-1,"0000"))</f>
        <v/>
      </c>
      <c r="C32" s="5">
        <f>IFERROR(VLOOKUP(B32,Customers!A:B,2,FALSE),"")</f>
        <v/>
      </c>
      <c r="N32" s="5">
        <f>IF(K32="","",K32-IFERROR(L32,0)-IFERROR(M32,0))</f>
        <v/>
      </c>
    </row>
    <row r="33">
      <c r="A33" s="5">
        <f>IF(B33="","","ORD-"&amp;TEXT(ROW()-1,"0000"))</f>
        <v/>
      </c>
      <c r="C33" s="5">
        <f>IFERROR(VLOOKUP(B33,Customers!A:B,2,FALSE),"")</f>
        <v/>
      </c>
      <c r="N33" s="5">
        <f>IF(K33="","",K33-IFERROR(L33,0)-IFERROR(M33,0))</f>
        <v/>
      </c>
    </row>
    <row r="34">
      <c r="A34" s="5">
        <f>IF(B34="","","ORD-"&amp;TEXT(ROW()-1,"0000"))</f>
        <v/>
      </c>
      <c r="C34" s="5">
        <f>IFERROR(VLOOKUP(B34,Customers!A:B,2,FALSE),"")</f>
        <v/>
      </c>
      <c r="N34" s="5">
        <f>IF(K34="","",K34-IFERROR(L34,0)-IFERROR(M34,0))</f>
        <v/>
      </c>
    </row>
    <row r="35">
      <c r="A35" s="5">
        <f>IF(B35="","","ORD-"&amp;TEXT(ROW()-1,"0000"))</f>
        <v/>
      </c>
      <c r="C35" s="5">
        <f>IFERROR(VLOOKUP(B35,Customers!A:B,2,FALSE),"")</f>
        <v/>
      </c>
      <c r="N35" s="5">
        <f>IF(K35="","",K35-IFERROR(L35,0)-IFERROR(M35,0))</f>
        <v/>
      </c>
    </row>
    <row r="36">
      <c r="A36" s="5">
        <f>IF(B36="","","ORD-"&amp;TEXT(ROW()-1,"0000"))</f>
        <v/>
      </c>
      <c r="C36" s="5">
        <f>IFERROR(VLOOKUP(B36,Customers!A:B,2,FALSE),"")</f>
        <v/>
      </c>
      <c r="N36" s="5">
        <f>IF(K36="","",K36-IFERROR(L36,0)-IFERROR(M36,0))</f>
        <v/>
      </c>
    </row>
    <row r="37">
      <c r="A37" s="5">
        <f>IF(B37="","","ORD-"&amp;TEXT(ROW()-1,"0000"))</f>
        <v/>
      </c>
      <c r="C37" s="5">
        <f>IFERROR(VLOOKUP(B37,Customers!A:B,2,FALSE),"")</f>
        <v/>
      </c>
      <c r="N37" s="5">
        <f>IF(K37="","",K37-IFERROR(L37,0)-IFERROR(M37,0))</f>
        <v/>
      </c>
    </row>
    <row r="38">
      <c r="A38" s="5">
        <f>IF(B38="","","ORD-"&amp;TEXT(ROW()-1,"0000"))</f>
        <v/>
      </c>
      <c r="C38" s="5">
        <f>IFERROR(VLOOKUP(B38,Customers!A:B,2,FALSE),"")</f>
        <v/>
      </c>
      <c r="N38" s="5">
        <f>IF(K38="","",K38-IFERROR(L38,0)-IFERROR(M38,0))</f>
        <v/>
      </c>
    </row>
    <row r="39">
      <c r="A39" s="5">
        <f>IF(B39="","","ORD-"&amp;TEXT(ROW()-1,"0000"))</f>
        <v/>
      </c>
      <c r="C39" s="5">
        <f>IFERROR(VLOOKUP(B39,Customers!A:B,2,FALSE),"")</f>
        <v/>
      </c>
      <c r="N39" s="5">
        <f>IF(K39="","",K39-IFERROR(L39,0)-IFERROR(M39,0))</f>
        <v/>
      </c>
    </row>
    <row r="40">
      <c r="A40" s="5">
        <f>IF(B40="","","ORD-"&amp;TEXT(ROW()-1,"0000"))</f>
        <v/>
      </c>
      <c r="C40" s="5">
        <f>IFERROR(VLOOKUP(B40,Customers!A:B,2,FALSE),"")</f>
        <v/>
      </c>
      <c r="N40" s="5">
        <f>IF(K40="","",K40-IFERROR(L40,0)-IFERROR(M40,0))</f>
        <v/>
      </c>
    </row>
    <row r="41">
      <c r="A41" s="5">
        <f>IF(B41="","","ORD-"&amp;TEXT(ROW()-1,"0000"))</f>
        <v/>
      </c>
      <c r="C41" s="5">
        <f>IFERROR(VLOOKUP(B41,Customers!A:B,2,FALSE),"")</f>
        <v/>
      </c>
      <c r="N41" s="5">
        <f>IF(K41="","",K41-IFERROR(L41,0)-IFERROR(M41,0))</f>
        <v/>
      </c>
    </row>
    <row r="42">
      <c r="A42" s="5">
        <f>IF(B42="","","ORD-"&amp;TEXT(ROW()-1,"0000"))</f>
        <v/>
      </c>
      <c r="C42" s="5">
        <f>IFERROR(VLOOKUP(B42,Customers!A:B,2,FALSE),"")</f>
        <v/>
      </c>
      <c r="N42" s="5">
        <f>IF(K42="","",K42-IFERROR(L42,0)-IFERROR(M42,0))</f>
        <v/>
      </c>
    </row>
    <row r="43">
      <c r="A43" s="5">
        <f>IF(B43="","","ORD-"&amp;TEXT(ROW()-1,"0000"))</f>
        <v/>
      </c>
      <c r="C43" s="5">
        <f>IFERROR(VLOOKUP(B43,Customers!A:B,2,FALSE),"")</f>
        <v/>
      </c>
      <c r="N43" s="5">
        <f>IF(K43="","",K43-IFERROR(L43,0)-IFERROR(M43,0))</f>
        <v/>
      </c>
    </row>
    <row r="44">
      <c r="A44" s="5">
        <f>IF(B44="","","ORD-"&amp;TEXT(ROW()-1,"0000"))</f>
        <v/>
      </c>
      <c r="C44" s="5">
        <f>IFERROR(VLOOKUP(B44,Customers!A:B,2,FALSE),"")</f>
        <v/>
      </c>
      <c r="N44" s="5">
        <f>IF(K44="","",K44-IFERROR(L44,0)-IFERROR(M44,0))</f>
        <v/>
      </c>
    </row>
    <row r="45">
      <c r="A45" s="5">
        <f>IF(B45="","","ORD-"&amp;TEXT(ROW()-1,"0000"))</f>
        <v/>
      </c>
      <c r="C45" s="5">
        <f>IFERROR(VLOOKUP(B45,Customers!A:B,2,FALSE),"")</f>
        <v/>
      </c>
      <c r="N45" s="5">
        <f>IF(K45="","",K45-IFERROR(L45,0)-IFERROR(M45,0))</f>
        <v/>
      </c>
    </row>
    <row r="46">
      <c r="A46" s="5">
        <f>IF(B46="","","ORD-"&amp;TEXT(ROW()-1,"0000"))</f>
        <v/>
      </c>
      <c r="C46" s="5">
        <f>IFERROR(VLOOKUP(B46,Customers!A:B,2,FALSE),"")</f>
        <v/>
      </c>
      <c r="N46" s="5">
        <f>IF(K46="","",K46-IFERROR(L46,0)-IFERROR(M46,0))</f>
        <v/>
      </c>
    </row>
    <row r="47">
      <c r="A47" s="5">
        <f>IF(B47="","","ORD-"&amp;TEXT(ROW()-1,"0000"))</f>
        <v/>
      </c>
      <c r="C47" s="5">
        <f>IFERROR(VLOOKUP(B47,Customers!A:B,2,FALSE),"")</f>
        <v/>
      </c>
      <c r="N47" s="5">
        <f>IF(K47="","",K47-IFERROR(L47,0)-IFERROR(M47,0))</f>
        <v/>
      </c>
    </row>
    <row r="48">
      <c r="A48" s="5">
        <f>IF(B48="","","ORD-"&amp;TEXT(ROW()-1,"0000"))</f>
        <v/>
      </c>
      <c r="C48" s="5">
        <f>IFERROR(VLOOKUP(B48,Customers!A:B,2,FALSE),"")</f>
        <v/>
      </c>
      <c r="N48" s="5">
        <f>IF(K48="","",K48-IFERROR(L48,0)-IFERROR(M48,0))</f>
        <v/>
      </c>
    </row>
    <row r="49">
      <c r="A49" s="5">
        <f>IF(B49="","","ORD-"&amp;TEXT(ROW()-1,"0000"))</f>
        <v/>
      </c>
      <c r="C49" s="5">
        <f>IFERROR(VLOOKUP(B49,Customers!A:B,2,FALSE),"")</f>
        <v/>
      </c>
      <c r="N49" s="5">
        <f>IF(K49="","",K49-IFERROR(L49,0)-IFERROR(M49,0))</f>
        <v/>
      </c>
    </row>
    <row r="50">
      <c r="A50" s="5">
        <f>IF(B50="","","ORD-"&amp;TEXT(ROW()-1,"0000"))</f>
        <v/>
      </c>
      <c r="C50" s="5">
        <f>IFERROR(VLOOKUP(B50,Customers!A:B,2,FALSE),"")</f>
        <v/>
      </c>
      <c r="N50" s="5">
        <f>IF(K50="","",K50-IFERROR(L50,0)-IFERROR(M50,0))</f>
        <v/>
      </c>
    </row>
    <row r="51">
      <c r="A51" s="5">
        <f>IF(B51="","","ORD-"&amp;TEXT(ROW()-1,"0000"))</f>
        <v/>
      </c>
      <c r="C51" s="5">
        <f>IFERROR(VLOOKUP(B51,Customers!A:B,2,FALSE),"")</f>
        <v/>
      </c>
      <c r="N51" s="5">
        <f>IF(K51="","",K51-IFERROR(L51,0)-IFERROR(M51,0))</f>
        <v/>
      </c>
    </row>
    <row r="52">
      <c r="A52" s="5">
        <f>IF(B52="","","ORD-"&amp;TEXT(ROW()-1,"0000"))</f>
        <v/>
      </c>
      <c r="C52" s="5">
        <f>IFERROR(VLOOKUP(B52,Customers!A:B,2,FALSE),"")</f>
        <v/>
      </c>
      <c r="N52" s="5">
        <f>IF(K52="","",K52-IFERROR(L52,0)-IFERROR(M52,0))</f>
        <v/>
      </c>
    </row>
    <row r="53">
      <c r="A53" s="5">
        <f>IF(B53="","","ORD-"&amp;TEXT(ROW()-1,"0000"))</f>
        <v/>
      </c>
      <c r="C53" s="5">
        <f>IFERROR(VLOOKUP(B53,Customers!A:B,2,FALSE),"")</f>
        <v/>
      </c>
      <c r="N53" s="5">
        <f>IF(K53="","",K53-IFERROR(L53,0)-IFERROR(M53,0))</f>
        <v/>
      </c>
    </row>
    <row r="54">
      <c r="A54" s="5">
        <f>IF(B54="","","ORD-"&amp;TEXT(ROW()-1,"0000"))</f>
        <v/>
      </c>
      <c r="C54" s="5">
        <f>IFERROR(VLOOKUP(B54,Customers!A:B,2,FALSE),"")</f>
        <v/>
      </c>
      <c r="N54" s="5">
        <f>IF(K54="","",K54-IFERROR(L54,0)-IFERROR(M54,0))</f>
        <v/>
      </c>
    </row>
    <row r="55">
      <c r="A55" s="5">
        <f>IF(B55="","","ORD-"&amp;TEXT(ROW()-1,"0000"))</f>
        <v/>
      </c>
      <c r="C55" s="5">
        <f>IFERROR(VLOOKUP(B55,Customers!A:B,2,FALSE),"")</f>
        <v/>
      </c>
      <c r="N55" s="5">
        <f>IF(K55="","",K55-IFERROR(L55,0)-IFERROR(M55,0))</f>
        <v/>
      </c>
    </row>
    <row r="56">
      <c r="A56" s="5">
        <f>IF(B56="","","ORD-"&amp;TEXT(ROW()-1,"0000"))</f>
        <v/>
      </c>
      <c r="C56" s="5">
        <f>IFERROR(VLOOKUP(B56,Customers!A:B,2,FALSE),"")</f>
        <v/>
      </c>
      <c r="N56" s="5">
        <f>IF(K56="","",K56-IFERROR(L56,0)-IFERROR(M56,0))</f>
        <v/>
      </c>
    </row>
    <row r="57">
      <c r="A57" s="5">
        <f>IF(B57="","","ORD-"&amp;TEXT(ROW()-1,"0000"))</f>
        <v/>
      </c>
      <c r="C57" s="5">
        <f>IFERROR(VLOOKUP(B57,Customers!A:B,2,FALSE),"")</f>
        <v/>
      </c>
      <c r="N57" s="5">
        <f>IF(K57="","",K57-IFERROR(L57,0)-IFERROR(M57,0))</f>
        <v/>
      </c>
    </row>
    <row r="58">
      <c r="A58" s="5">
        <f>IF(B58="","","ORD-"&amp;TEXT(ROW()-1,"0000"))</f>
        <v/>
      </c>
      <c r="C58" s="5">
        <f>IFERROR(VLOOKUP(B58,Customers!A:B,2,FALSE),"")</f>
        <v/>
      </c>
      <c r="N58" s="5">
        <f>IF(K58="","",K58-IFERROR(L58,0)-IFERROR(M58,0))</f>
        <v/>
      </c>
    </row>
    <row r="59">
      <c r="A59" s="5">
        <f>IF(B59="","","ORD-"&amp;TEXT(ROW()-1,"0000"))</f>
        <v/>
      </c>
      <c r="C59" s="5">
        <f>IFERROR(VLOOKUP(B59,Customers!A:B,2,FALSE),"")</f>
        <v/>
      </c>
      <c r="N59" s="5">
        <f>IF(K59="","",K59-IFERROR(L59,0)-IFERROR(M59,0))</f>
        <v/>
      </c>
    </row>
    <row r="60">
      <c r="A60" s="5">
        <f>IF(B60="","","ORD-"&amp;TEXT(ROW()-1,"0000"))</f>
        <v/>
      </c>
      <c r="C60" s="5">
        <f>IFERROR(VLOOKUP(B60,Customers!A:B,2,FALSE),"")</f>
        <v/>
      </c>
      <c r="N60" s="5">
        <f>IF(K60="","",K60-IFERROR(L60,0)-IFERROR(M60,0))</f>
        <v/>
      </c>
    </row>
    <row r="61">
      <c r="A61" s="5">
        <f>IF(B61="","","ORD-"&amp;TEXT(ROW()-1,"0000"))</f>
        <v/>
      </c>
      <c r="C61" s="5">
        <f>IFERROR(VLOOKUP(B61,Customers!A:B,2,FALSE),"")</f>
        <v/>
      </c>
      <c r="N61" s="5">
        <f>IF(K61="","",K61-IFERROR(L61,0)-IFERROR(M61,0))</f>
        <v/>
      </c>
    </row>
    <row r="62">
      <c r="A62" s="5">
        <f>IF(B62="","","ORD-"&amp;TEXT(ROW()-1,"0000"))</f>
        <v/>
      </c>
      <c r="C62" s="5">
        <f>IFERROR(VLOOKUP(B62,Customers!A:B,2,FALSE),"")</f>
        <v/>
      </c>
      <c r="N62" s="5">
        <f>IF(K62="","",K62-IFERROR(L62,0)-IFERROR(M62,0))</f>
        <v/>
      </c>
    </row>
    <row r="63">
      <c r="A63" s="5">
        <f>IF(B63="","","ORD-"&amp;TEXT(ROW()-1,"0000"))</f>
        <v/>
      </c>
      <c r="C63" s="5">
        <f>IFERROR(VLOOKUP(B63,Customers!A:B,2,FALSE),"")</f>
        <v/>
      </c>
      <c r="N63" s="5">
        <f>IF(K63="","",K63-IFERROR(L63,0)-IFERROR(M63,0))</f>
        <v/>
      </c>
    </row>
    <row r="64">
      <c r="A64" s="5">
        <f>IF(B64="","","ORD-"&amp;TEXT(ROW()-1,"0000"))</f>
        <v/>
      </c>
      <c r="C64" s="5">
        <f>IFERROR(VLOOKUP(B64,Customers!A:B,2,FALSE),"")</f>
        <v/>
      </c>
      <c r="N64" s="5">
        <f>IF(K64="","",K64-IFERROR(L64,0)-IFERROR(M64,0))</f>
        <v/>
      </c>
    </row>
    <row r="65">
      <c r="A65" s="5">
        <f>IF(B65="","","ORD-"&amp;TEXT(ROW()-1,"0000"))</f>
        <v/>
      </c>
      <c r="C65" s="5">
        <f>IFERROR(VLOOKUP(B65,Customers!A:B,2,FALSE),"")</f>
        <v/>
      </c>
      <c r="N65" s="5">
        <f>IF(K65="","",K65-IFERROR(L65,0)-IFERROR(M65,0))</f>
        <v/>
      </c>
    </row>
    <row r="66">
      <c r="A66" s="5">
        <f>IF(B66="","","ORD-"&amp;TEXT(ROW()-1,"0000"))</f>
        <v/>
      </c>
      <c r="C66" s="5">
        <f>IFERROR(VLOOKUP(B66,Customers!A:B,2,FALSE),"")</f>
        <v/>
      </c>
      <c r="N66" s="5">
        <f>IF(K66="","",K66-IFERROR(L66,0)-IFERROR(M66,0))</f>
        <v/>
      </c>
    </row>
    <row r="67">
      <c r="A67" s="5">
        <f>IF(B67="","","ORD-"&amp;TEXT(ROW()-1,"0000"))</f>
        <v/>
      </c>
      <c r="C67" s="5">
        <f>IFERROR(VLOOKUP(B67,Customers!A:B,2,FALSE),"")</f>
        <v/>
      </c>
      <c r="N67" s="5">
        <f>IF(K67="","",K67-IFERROR(L67,0)-IFERROR(M67,0))</f>
        <v/>
      </c>
    </row>
    <row r="68">
      <c r="A68" s="5">
        <f>IF(B68="","","ORD-"&amp;TEXT(ROW()-1,"0000"))</f>
        <v/>
      </c>
      <c r="C68" s="5">
        <f>IFERROR(VLOOKUP(B68,Customers!A:B,2,FALSE),"")</f>
        <v/>
      </c>
      <c r="N68" s="5">
        <f>IF(K68="","",K68-IFERROR(L68,0)-IFERROR(M68,0))</f>
        <v/>
      </c>
    </row>
    <row r="69">
      <c r="A69" s="5">
        <f>IF(B69="","","ORD-"&amp;TEXT(ROW()-1,"0000"))</f>
        <v/>
      </c>
      <c r="C69" s="5">
        <f>IFERROR(VLOOKUP(B69,Customers!A:B,2,FALSE),"")</f>
        <v/>
      </c>
      <c r="N69" s="5">
        <f>IF(K69="","",K69-IFERROR(L69,0)-IFERROR(M69,0))</f>
        <v/>
      </c>
    </row>
    <row r="70">
      <c r="A70" s="5">
        <f>IF(B70="","","ORD-"&amp;TEXT(ROW()-1,"0000"))</f>
        <v/>
      </c>
      <c r="C70" s="5">
        <f>IFERROR(VLOOKUP(B70,Customers!A:B,2,FALSE),"")</f>
        <v/>
      </c>
      <c r="N70" s="5">
        <f>IF(K70="","",K70-IFERROR(L70,0)-IFERROR(M70,0))</f>
        <v/>
      </c>
    </row>
    <row r="71">
      <c r="A71" s="5">
        <f>IF(B71="","","ORD-"&amp;TEXT(ROW()-1,"0000"))</f>
        <v/>
      </c>
      <c r="C71" s="5">
        <f>IFERROR(VLOOKUP(B71,Customers!A:B,2,FALSE),"")</f>
        <v/>
      </c>
      <c r="N71" s="5">
        <f>IF(K71="","",K71-IFERROR(L71,0)-IFERROR(M71,0))</f>
        <v/>
      </c>
    </row>
    <row r="72">
      <c r="A72" s="5">
        <f>IF(B72="","","ORD-"&amp;TEXT(ROW()-1,"0000"))</f>
        <v/>
      </c>
      <c r="C72" s="5">
        <f>IFERROR(VLOOKUP(B72,Customers!A:B,2,FALSE),"")</f>
        <v/>
      </c>
      <c r="N72" s="5">
        <f>IF(K72="","",K72-IFERROR(L72,0)-IFERROR(M72,0))</f>
        <v/>
      </c>
    </row>
    <row r="73">
      <c r="A73" s="5">
        <f>IF(B73="","","ORD-"&amp;TEXT(ROW()-1,"0000"))</f>
        <v/>
      </c>
      <c r="C73" s="5">
        <f>IFERROR(VLOOKUP(B73,Customers!A:B,2,FALSE),"")</f>
        <v/>
      </c>
      <c r="N73" s="5">
        <f>IF(K73="","",K73-IFERROR(L73,0)-IFERROR(M73,0))</f>
        <v/>
      </c>
    </row>
    <row r="74">
      <c r="A74" s="5">
        <f>IF(B74="","","ORD-"&amp;TEXT(ROW()-1,"0000"))</f>
        <v/>
      </c>
      <c r="C74" s="5">
        <f>IFERROR(VLOOKUP(B74,Customers!A:B,2,FALSE),"")</f>
        <v/>
      </c>
      <c r="N74" s="5">
        <f>IF(K74="","",K74-IFERROR(L74,0)-IFERROR(M74,0))</f>
        <v/>
      </c>
    </row>
    <row r="75">
      <c r="A75" s="5">
        <f>IF(B75="","","ORD-"&amp;TEXT(ROW()-1,"0000"))</f>
        <v/>
      </c>
      <c r="C75" s="5">
        <f>IFERROR(VLOOKUP(B75,Customers!A:B,2,FALSE),"")</f>
        <v/>
      </c>
      <c r="N75" s="5">
        <f>IF(K75="","",K75-IFERROR(L75,0)-IFERROR(M75,0))</f>
        <v/>
      </c>
    </row>
    <row r="76">
      <c r="A76" s="5">
        <f>IF(B76="","","ORD-"&amp;TEXT(ROW()-1,"0000"))</f>
        <v/>
      </c>
      <c r="C76" s="5">
        <f>IFERROR(VLOOKUP(B76,Customers!A:B,2,FALSE),"")</f>
        <v/>
      </c>
      <c r="N76" s="5">
        <f>IF(K76="","",K76-IFERROR(L76,0)-IFERROR(M76,0))</f>
        <v/>
      </c>
    </row>
    <row r="77">
      <c r="A77" s="5">
        <f>IF(B77="","","ORD-"&amp;TEXT(ROW()-1,"0000"))</f>
        <v/>
      </c>
      <c r="C77" s="5">
        <f>IFERROR(VLOOKUP(B77,Customers!A:B,2,FALSE),"")</f>
        <v/>
      </c>
      <c r="N77" s="5">
        <f>IF(K77="","",K77-IFERROR(L77,0)-IFERROR(M77,0))</f>
        <v/>
      </c>
    </row>
    <row r="78">
      <c r="A78" s="5">
        <f>IF(B78="","","ORD-"&amp;TEXT(ROW()-1,"0000"))</f>
        <v/>
      </c>
      <c r="C78" s="5">
        <f>IFERROR(VLOOKUP(B78,Customers!A:B,2,FALSE),"")</f>
        <v/>
      </c>
      <c r="N78" s="5">
        <f>IF(K78="","",K78-IFERROR(L78,0)-IFERROR(M78,0))</f>
        <v/>
      </c>
    </row>
    <row r="79">
      <c r="A79" s="5">
        <f>IF(B79="","","ORD-"&amp;TEXT(ROW()-1,"0000"))</f>
        <v/>
      </c>
      <c r="C79" s="5">
        <f>IFERROR(VLOOKUP(B79,Customers!A:B,2,FALSE),"")</f>
        <v/>
      </c>
      <c r="N79" s="5">
        <f>IF(K79="","",K79-IFERROR(L79,0)-IFERROR(M79,0))</f>
        <v/>
      </c>
    </row>
    <row r="80">
      <c r="A80" s="5">
        <f>IF(B80="","","ORD-"&amp;TEXT(ROW()-1,"0000"))</f>
        <v/>
      </c>
      <c r="C80" s="5">
        <f>IFERROR(VLOOKUP(B80,Customers!A:B,2,FALSE),"")</f>
        <v/>
      </c>
      <c r="N80" s="5">
        <f>IF(K80="","",K80-IFERROR(L80,0)-IFERROR(M80,0))</f>
        <v/>
      </c>
    </row>
    <row r="81">
      <c r="A81" s="5">
        <f>IF(B81="","","ORD-"&amp;TEXT(ROW()-1,"0000"))</f>
        <v/>
      </c>
      <c r="C81" s="5">
        <f>IFERROR(VLOOKUP(B81,Customers!A:B,2,FALSE),"")</f>
        <v/>
      </c>
      <c r="N81" s="5">
        <f>IF(K81="","",K81-IFERROR(L81,0)-IFERROR(M81,0))</f>
        <v/>
      </c>
    </row>
    <row r="82">
      <c r="A82" s="5">
        <f>IF(B82="","","ORD-"&amp;TEXT(ROW()-1,"0000"))</f>
        <v/>
      </c>
      <c r="C82" s="5">
        <f>IFERROR(VLOOKUP(B82,Customers!A:B,2,FALSE),"")</f>
        <v/>
      </c>
      <c r="N82" s="5">
        <f>IF(K82="","",K82-IFERROR(L82,0)-IFERROR(M82,0))</f>
        <v/>
      </c>
    </row>
    <row r="83">
      <c r="A83" s="5">
        <f>IF(B83="","","ORD-"&amp;TEXT(ROW()-1,"0000"))</f>
        <v/>
      </c>
      <c r="C83" s="5">
        <f>IFERROR(VLOOKUP(B83,Customers!A:B,2,FALSE),"")</f>
        <v/>
      </c>
      <c r="N83" s="5">
        <f>IF(K83="","",K83-IFERROR(L83,0)-IFERROR(M83,0))</f>
        <v/>
      </c>
    </row>
    <row r="84">
      <c r="A84" s="5">
        <f>IF(B84="","","ORD-"&amp;TEXT(ROW()-1,"0000"))</f>
        <v/>
      </c>
      <c r="C84" s="5">
        <f>IFERROR(VLOOKUP(B84,Customers!A:B,2,FALSE),"")</f>
        <v/>
      </c>
      <c r="N84" s="5">
        <f>IF(K84="","",K84-IFERROR(L84,0)-IFERROR(M84,0))</f>
        <v/>
      </c>
    </row>
    <row r="85">
      <c r="A85" s="5">
        <f>IF(B85="","","ORD-"&amp;TEXT(ROW()-1,"0000"))</f>
        <v/>
      </c>
      <c r="C85" s="5">
        <f>IFERROR(VLOOKUP(B85,Customers!A:B,2,FALSE),"")</f>
        <v/>
      </c>
      <c r="N85" s="5">
        <f>IF(K85="","",K85-IFERROR(L85,0)-IFERROR(M85,0))</f>
        <v/>
      </c>
    </row>
    <row r="86">
      <c r="A86" s="5">
        <f>IF(B86="","","ORD-"&amp;TEXT(ROW()-1,"0000"))</f>
        <v/>
      </c>
      <c r="C86" s="5">
        <f>IFERROR(VLOOKUP(B86,Customers!A:B,2,FALSE),"")</f>
        <v/>
      </c>
      <c r="N86" s="5">
        <f>IF(K86="","",K86-IFERROR(L86,0)-IFERROR(M86,0))</f>
        <v/>
      </c>
    </row>
    <row r="87">
      <c r="A87" s="5">
        <f>IF(B87="","","ORD-"&amp;TEXT(ROW()-1,"0000"))</f>
        <v/>
      </c>
      <c r="C87" s="5">
        <f>IFERROR(VLOOKUP(B87,Customers!A:B,2,FALSE),"")</f>
        <v/>
      </c>
      <c r="N87" s="5">
        <f>IF(K87="","",K87-IFERROR(L87,0)-IFERROR(M87,0))</f>
        <v/>
      </c>
    </row>
    <row r="88">
      <c r="A88" s="5">
        <f>IF(B88="","","ORD-"&amp;TEXT(ROW()-1,"0000"))</f>
        <v/>
      </c>
      <c r="C88" s="5">
        <f>IFERROR(VLOOKUP(B88,Customers!A:B,2,FALSE),"")</f>
        <v/>
      </c>
      <c r="N88" s="5">
        <f>IF(K88="","",K88-IFERROR(L88,0)-IFERROR(M88,0))</f>
        <v/>
      </c>
    </row>
    <row r="89">
      <c r="A89" s="5">
        <f>IF(B89="","","ORD-"&amp;TEXT(ROW()-1,"0000"))</f>
        <v/>
      </c>
      <c r="C89" s="5">
        <f>IFERROR(VLOOKUP(B89,Customers!A:B,2,FALSE),"")</f>
        <v/>
      </c>
      <c r="N89" s="5">
        <f>IF(K89="","",K89-IFERROR(L89,0)-IFERROR(M89,0))</f>
        <v/>
      </c>
    </row>
    <row r="90">
      <c r="A90" s="5">
        <f>IF(B90="","","ORD-"&amp;TEXT(ROW()-1,"0000"))</f>
        <v/>
      </c>
      <c r="C90" s="5">
        <f>IFERROR(VLOOKUP(B90,Customers!A:B,2,FALSE),"")</f>
        <v/>
      </c>
      <c r="N90" s="5">
        <f>IF(K90="","",K90-IFERROR(L90,0)-IFERROR(M90,0))</f>
        <v/>
      </c>
    </row>
    <row r="91">
      <c r="A91" s="5">
        <f>IF(B91="","","ORD-"&amp;TEXT(ROW()-1,"0000"))</f>
        <v/>
      </c>
      <c r="C91" s="5">
        <f>IFERROR(VLOOKUP(B91,Customers!A:B,2,FALSE),"")</f>
        <v/>
      </c>
      <c r="N91" s="5">
        <f>IF(K91="","",K91-IFERROR(L91,0)-IFERROR(M91,0))</f>
        <v/>
      </c>
    </row>
    <row r="92">
      <c r="A92" s="5">
        <f>IF(B92="","","ORD-"&amp;TEXT(ROW()-1,"0000"))</f>
        <v/>
      </c>
      <c r="C92" s="5">
        <f>IFERROR(VLOOKUP(B92,Customers!A:B,2,FALSE),"")</f>
        <v/>
      </c>
      <c r="N92" s="5">
        <f>IF(K92="","",K92-IFERROR(L92,0)-IFERROR(M92,0))</f>
        <v/>
      </c>
    </row>
    <row r="93">
      <c r="A93" s="5">
        <f>IF(B93="","","ORD-"&amp;TEXT(ROW()-1,"0000"))</f>
        <v/>
      </c>
      <c r="C93" s="5">
        <f>IFERROR(VLOOKUP(B93,Customers!A:B,2,FALSE),"")</f>
        <v/>
      </c>
      <c r="N93" s="5">
        <f>IF(K93="","",K93-IFERROR(L93,0)-IFERROR(M93,0))</f>
        <v/>
      </c>
    </row>
    <row r="94">
      <c r="A94" s="5">
        <f>IF(B94="","","ORD-"&amp;TEXT(ROW()-1,"0000"))</f>
        <v/>
      </c>
      <c r="C94" s="5">
        <f>IFERROR(VLOOKUP(B94,Customers!A:B,2,FALSE),"")</f>
        <v/>
      </c>
      <c r="N94" s="5">
        <f>IF(K94="","",K94-IFERROR(L94,0)-IFERROR(M94,0))</f>
        <v/>
      </c>
    </row>
    <row r="95">
      <c r="A95" s="5">
        <f>IF(B95="","","ORD-"&amp;TEXT(ROW()-1,"0000"))</f>
        <v/>
      </c>
      <c r="C95" s="5">
        <f>IFERROR(VLOOKUP(B95,Customers!A:B,2,FALSE),"")</f>
        <v/>
      </c>
      <c r="N95" s="5">
        <f>IF(K95="","",K95-IFERROR(L95,0)-IFERROR(M95,0))</f>
        <v/>
      </c>
    </row>
    <row r="96">
      <c r="A96" s="5">
        <f>IF(B96="","","ORD-"&amp;TEXT(ROW()-1,"0000"))</f>
        <v/>
      </c>
      <c r="C96" s="5">
        <f>IFERROR(VLOOKUP(B96,Customers!A:B,2,FALSE),"")</f>
        <v/>
      </c>
      <c r="N96" s="5">
        <f>IF(K96="","",K96-IFERROR(L96,0)-IFERROR(M96,0))</f>
        <v/>
      </c>
    </row>
    <row r="97">
      <c r="A97" s="5">
        <f>IF(B97="","","ORD-"&amp;TEXT(ROW()-1,"0000"))</f>
        <v/>
      </c>
      <c r="C97" s="5">
        <f>IFERROR(VLOOKUP(B97,Customers!A:B,2,FALSE),"")</f>
        <v/>
      </c>
      <c r="N97" s="5">
        <f>IF(K97="","",K97-IFERROR(L97,0)-IFERROR(M97,0))</f>
        <v/>
      </c>
    </row>
    <row r="98">
      <c r="A98" s="5">
        <f>IF(B98="","","ORD-"&amp;TEXT(ROW()-1,"0000"))</f>
        <v/>
      </c>
      <c r="C98" s="5">
        <f>IFERROR(VLOOKUP(B98,Customers!A:B,2,FALSE),"")</f>
        <v/>
      </c>
      <c r="N98" s="5">
        <f>IF(K98="","",K98-IFERROR(L98,0)-IFERROR(M98,0))</f>
        <v/>
      </c>
    </row>
    <row r="99">
      <c r="A99" s="5">
        <f>IF(B99="","","ORD-"&amp;TEXT(ROW()-1,"0000"))</f>
        <v/>
      </c>
      <c r="C99" s="5">
        <f>IFERROR(VLOOKUP(B99,Customers!A:B,2,FALSE),"")</f>
        <v/>
      </c>
      <c r="N99" s="5">
        <f>IF(K99="","",K99-IFERROR(L99,0)-IFERROR(M99,0))</f>
        <v/>
      </c>
    </row>
    <row r="100">
      <c r="A100" s="5">
        <f>IF(B100="","","ORD-"&amp;TEXT(ROW()-1,"0000"))</f>
        <v/>
      </c>
      <c r="C100" s="5">
        <f>IFERROR(VLOOKUP(B100,Customers!A:B,2,FALSE),"")</f>
        <v/>
      </c>
      <c r="N100" s="5">
        <f>IF(K100="","",K100-IFERROR(L100,0)-IFERROR(M100,0))</f>
        <v/>
      </c>
    </row>
    <row r="101">
      <c r="A101" s="5">
        <f>IF(B101="","","ORD-"&amp;TEXT(ROW()-1,"0000"))</f>
        <v/>
      </c>
      <c r="C101" s="5">
        <f>IFERROR(VLOOKUP(B101,Customers!A:B,2,FALSE),"")</f>
        <v/>
      </c>
      <c r="N101" s="5">
        <f>IF(K101="","",K101-IFERROR(L101,0)-IFERROR(M101,0))</f>
        <v/>
      </c>
    </row>
    <row r="102">
      <c r="A102" s="5">
        <f>IF(B102="","","ORD-"&amp;TEXT(ROW()-1,"0000"))</f>
        <v/>
      </c>
      <c r="C102" s="5">
        <f>IFERROR(VLOOKUP(B102,Customers!A:B,2,FALSE),"")</f>
        <v/>
      </c>
      <c r="N102" s="5">
        <f>IF(K102="","",K102-IFERROR(L102,0)-IFERROR(M102,0))</f>
        <v/>
      </c>
    </row>
    <row r="103">
      <c r="A103" s="5">
        <f>IF(B103="","","ORD-"&amp;TEXT(ROW()-1,"0000"))</f>
        <v/>
      </c>
      <c r="C103" s="5">
        <f>IFERROR(VLOOKUP(B103,Customers!A:B,2,FALSE),"")</f>
        <v/>
      </c>
      <c r="N103" s="5">
        <f>IF(K103="","",K103-IFERROR(L103,0)-IFERROR(M103,0))</f>
        <v/>
      </c>
    </row>
    <row r="104">
      <c r="A104" s="5">
        <f>IF(B104="","","ORD-"&amp;TEXT(ROW()-1,"0000"))</f>
        <v/>
      </c>
      <c r="C104" s="5">
        <f>IFERROR(VLOOKUP(B104,Customers!A:B,2,FALSE),"")</f>
        <v/>
      </c>
      <c r="N104" s="5">
        <f>IF(K104="","",K104-IFERROR(L104,0)-IFERROR(M104,0))</f>
        <v/>
      </c>
    </row>
    <row r="105">
      <c r="A105" s="5">
        <f>IF(B105="","","ORD-"&amp;TEXT(ROW()-1,"0000"))</f>
        <v/>
      </c>
      <c r="C105" s="5">
        <f>IFERROR(VLOOKUP(B105,Customers!A:B,2,FALSE),"")</f>
        <v/>
      </c>
      <c r="N105" s="5">
        <f>IF(K105="","",K105-IFERROR(L105,0)-IFERROR(M105,0))</f>
        <v/>
      </c>
    </row>
    <row r="106">
      <c r="A106" s="5">
        <f>IF(B106="","","ORD-"&amp;TEXT(ROW()-1,"0000"))</f>
        <v/>
      </c>
      <c r="C106" s="5">
        <f>IFERROR(VLOOKUP(B106,Customers!A:B,2,FALSE),"")</f>
        <v/>
      </c>
      <c r="N106" s="5">
        <f>IF(K106="","",K106-IFERROR(L106,0)-IFERROR(M106,0))</f>
        <v/>
      </c>
    </row>
    <row r="107">
      <c r="A107" s="5">
        <f>IF(B107="","","ORD-"&amp;TEXT(ROW()-1,"0000"))</f>
        <v/>
      </c>
      <c r="C107" s="5">
        <f>IFERROR(VLOOKUP(B107,Customers!A:B,2,FALSE),"")</f>
        <v/>
      </c>
      <c r="N107" s="5">
        <f>IF(K107="","",K107-IFERROR(L107,0)-IFERROR(M107,0))</f>
        <v/>
      </c>
    </row>
    <row r="108">
      <c r="A108" s="5">
        <f>IF(B108="","","ORD-"&amp;TEXT(ROW()-1,"0000"))</f>
        <v/>
      </c>
      <c r="C108" s="5">
        <f>IFERROR(VLOOKUP(B108,Customers!A:B,2,FALSE),"")</f>
        <v/>
      </c>
      <c r="N108" s="5">
        <f>IF(K108="","",K108-IFERROR(L108,0)-IFERROR(M108,0))</f>
        <v/>
      </c>
    </row>
    <row r="109">
      <c r="A109" s="5">
        <f>IF(B109="","","ORD-"&amp;TEXT(ROW()-1,"0000"))</f>
        <v/>
      </c>
      <c r="C109" s="5">
        <f>IFERROR(VLOOKUP(B109,Customers!A:B,2,FALSE),"")</f>
        <v/>
      </c>
      <c r="N109" s="5">
        <f>IF(K109="","",K109-IFERROR(L109,0)-IFERROR(M109,0))</f>
        <v/>
      </c>
    </row>
    <row r="110">
      <c r="A110" s="5">
        <f>IF(B110="","","ORD-"&amp;TEXT(ROW()-1,"0000"))</f>
        <v/>
      </c>
      <c r="C110" s="5">
        <f>IFERROR(VLOOKUP(B110,Customers!A:B,2,FALSE),"")</f>
        <v/>
      </c>
      <c r="N110" s="5">
        <f>IF(K110="","",K110-IFERROR(L110,0)-IFERROR(M110,0))</f>
        <v/>
      </c>
    </row>
    <row r="111">
      <c r="A111" s="5">
        <f>IF(B111="","","ORD-"&amp;TEXT(ROW()-1,"0000"))</f>
        <v/>
      </c>
      <c r="C111" s="5">
        <f>IFERROR(VLOOKUP(B111,Customers!A:B,2,FALSE),"")</f>
        <v/>
      </c>
      <c r="N111" s="5">
        <f>IF(K111="","",K111-IFERROR(L111,0)-IFERROR(M111,0))</f>
        <v/>
      </c>
    </row>
    <row r="112">
      <c r="A112" s="5">
        <f>IF(B112="","","ORD-"&amp;TEXT(ROW()-1,"0000"))</f>
        <v/>
      </c>
      <c r="C112" s="5">
        <f>IFERROR(VLOOKUP(B112,Customers!A:B,2,FALSE),"")</f>
        <v/>
      </c>
      <c r="N112" s="5">
        <f>IF(K112="","",K112-IFERROR(L112,0)-IFERROR(M112,0))</f>
        <v/>
      </c>
    </row>
    <row r="113">
      <c r="A113" s="5">
        <f>IF(B113="","","ORD-"&amp;TEXT(ROW()-1,"0000"))</f>
        <v/>
      </c>
      <c r="C113" s="5">
        <f>IFERROR(VLOOKUP(B113,Customers!A:B,2,FALSE),"")</f>
        <v/>
      </c>
      <c r="N113" s="5">
        <f>IF(K113="","",K113-IFERROR(L113,0)-IFERROR(M113,0))</f>
        <v/>
      </c>
    </row>
    <row r="114">
      <c r="A114" s="5">
        <f>IF(B114="","","ORD-"&amp;TEXT(ROW()-1,"0000"))</f>
        <v/>
      </c>
      <c r="C114" s="5">
        <f>IFERROR(VLOOKUP(B114,Customers!A:B,2,FALSE),"")</f>
        <v/>
      </c>
      <c r="N114" s="5">
        <f>IF(K114="","",K114-IFERROR(L114,0)-IFERROR(M114,0))</f>
        <v/>
      </c>
    </row>
    <row r="115">
      <c r="A115" s="5">
        <f>IF(B115="","","ORD-"&amp;TEXT(ROW()-1,"0000"))</f>
        <v/>
      </c>
      <c r="C115" s="5">
        <f>IFERROR(VLOOKUP(B115,Customers!A:B,2,FALSE),"")</f>
        <v/>
      </c>
      <c r="N115" s="5">
        <f>IF(K115="","",K115-IFERROR(L115,0)-IFERROR(M115,0))</f>
        <v/>
      </c>
    </row>
    <row r="116">
      <c r="A116" s="5">
        <f>IF(B116="","","ORD-"&amp;TEXT(ROW()-1,"0000"))</f>
        <v/>
      </c>
      <c r="C116" s="5">
        <f>IFERROR(VLOOKUP(B116,Customers!A:B,2,FALSE),"")</f>
        <v/>
      </c>
      <c r="N116" s="5">
        <f>IF(K116="","",K116-IFERROR(L116,0)-IFERROR(M116,0))</f>
        <v/>
      </c>
    </row>
    <row r="117">
      <c r="A117" s="5">
        <f>IF(B117="","","ORD-"&amp;TEXT(ROW()-1,"0000"))</f>
        <v/>
      </c>
      <c r="C117" s="5">
        <f>IFERROR(VLOOKUP(B117,Customers!A:B,2,FALSE),"")</f>
        <v/>
      </c>
      <c r="N117" s="5">
        <f>IF(K117="","",K117-IFERROR(L117,0)-IFERROR(M117,0))</f>
        <v/>
      </c>
    </row>
    <row r="118">
      <c r="A118" s="5">
        <f>IF(B118="","","ORD-"&amp;TEXT(ROW()-1,"0000"))</f>
        <v/>
      </c>
      <c r="C118" s="5">
        <f>IFERROR(VLOOKUP(B118,Customers!A:B,2,FALSE),"")</f>
        <v/>
      </c>
      <c r="N118" s="5">
        <f>IF(K118="","",K118-IFERROR(L118,0)-IFERROR(M118,0))</f>
        <v/>
      </c>
    </row>
    <row r="119">
      <c r="A119" s="5">
        <f>IF(B119="","","ORD-"&amp;TEXT(ROW()-1,"0000"))</f>
        <v/>
      </c>
      <c r="C119" s="5">
        <f>IFERROR(VLOOKUP(B119,Customers!A:B,2,FALSE),"")</f>
        <v/>
      </c>
      <c r="N119" s="5">
        <f>IF(K119="","",K119-IFERROR(L119,0)-IFERROR(M119,0))</f>
        <v/>
      </c>
    </row>
    <row r="120">
      <c r="A120" s="5">
        <f>IF(B120="","","ORD-"&amp;TEXT(ROW()-1,"0000"))</f>
        <v/>
      </c>
      <c r="C120" s="5">
        <f>IFERROR(VLOOKUP(B120,Customers!A:B,2,FALSE),"")</f>
        <v/>
      </c>
      <c r="N120" s="5">
        <f>IF(K120="","",K120-IFERROR(L120,0)-IFERROR(M120,0))</f>
        <v/>
      </c>
    </row>
    <row r="121">
      <c r="A121" s="5">
        <f>IF(B121="","","ORD-"&amp;TEXT(ROW()-1,"0000"))</f>
        <v/>
      </c>
      <c r="C121" s="5">
        <f>IFERROR(VLOOKUP(B121,Customers!A:B,2,FALSE),"")</f>
        <v/>
      </c>
      <c r="N121" s="5">
        <f>IF(K121="","",K121-IFERROR(L121,0)-IFERROR(M121,0))</f>
        <v/>
      </c>
    </row>
    <row r="122">
      <c r="A122" s="5">
        <f>IF(B122="","","ORD-"&amp;TEXT(ROW()-1,"0000"))</f>
        <v/>
      </c>
      <c r="C122" s="5">
        <f>IFERROR(VLOOKUP(B122,Customers!A:B,2,FALSE),"")</f>
        <v/>
      </c>
      <c r="N122" s="5">
        <f>IF(K122="","",K122-IFERROR(L122,0)-IFERROR(M122,0))</f>
        <v/>
      </c>
    </row>
    <row r="123">
      <c r="A123" s="5">
        <f>IF(B123="","","ORD-"&amp;TEXT(ROW()-1,"0000"))</f>
        <v/>
      </c>
      <c r="C123" s="5">
        <f>IFERROR(VLOOKUP(B123,Customers!A:B,2,FALSE),"")</f>
        <v/>
      </c>
      <c r="N123" s="5">
        <f>IF(K123="","",K123-IFERROR(L123,0)-IFERROR(M123,0))</f>
        <v/>
      </c>
    </row>
    <row r="124">
      <c r="A124" s="5">
        <f>IF(B124="","","ORD-"&amp;TEXT(ROW()-1,"0000"))</f>
        <v/>
      </c>
      <c r="C124" s="5">
        <f>IFERROR(VLOOKUP(B124,Customers!A:B,2,FALSE),"")</f>
        <v/>
      </c>
      <c r="N124" s="5">
        <f>IF(K124="","",K124-IFERROR(L124,0)-IFERROR(M124,0))</f>
        <v/>
      </c>
    </row>
    <row r="125">
      <c r="A125" s="5">
        <f>IF(B125="","","ORD-"&amp;TEXT(ROW()-1,"0000"))</f>
        <v/>
      </c>
      <c r="C125" s="5">
        <f>IFERROR(VLOOKUP(B125,Customers!A:B,2,FALSE),"")</f>
        <v/>
      </c>
      <c r="N125" s="5">
        <f>IF(K125="","",K125-IFERROR(L125,0)-IFERROR(M125,0))</f>
        <v/>
      </c>
    </row>
    <row r="126">
      <c r="A126" s="5">
        <f>IF(B126="","","ORD-"&amp;TEXT(ROW()-1,"0000"))</f>
        <v/>
      </c>
      <c r="C126" s="5">
        <f>IFERROR(VLOOKUP(B126,Customers!A:B,2,FALSE),"")</f>
        <v/>
      </c>
      <c r="N126" s="5">
        <f>IF(K126="","",K126-IFERROR(L126,0)-IFERROR(M126,0))</f>
        <v/>
      </c>
    </row>
    <row r="127">
      <c r="A127" s="5">
        <f>IF(B127="","","ORD-"&amp;TEXT(ROW()-1,"0000"))</f>
        <v/>
      </c>
      <c r="C127" s="5">
        <f>IFERROR(VLOOKUP(B127,Customers!A:B,2,FALSE),"")</f>
        <v/>
      </c>
      <c r="N127" s="5">
        <f>IF(K127="","",K127-IFERROR(L127,0)-IFERROR(M127,0))</f>
        <v/>
      </c>
    </row>
    <row r="128">
      <c r="A128" s="5">
        <f>IF(B128="","","ORD-"&amp;TEXT(ROW()-1,"0000"))</f>
        <v/>
      </c>
      <c r="C128" s="5">
        <f>IFERROR(VLOOKUP(B128,Customers!A:B,2,FALSE),"")</f>
        <v/>
      </c>
      <c r="N128" s="5">
        <f>IF(K128="","",K128-IFERROR(L128,0)-IFERROR(M128,0))</f>
        <v/>
      </c>
    </row>
    <row r="129">
      <c r="A129" s="5">
        <f>IF(B129="","","ORD-"&amp;TEXT(ROW()-1,"0000"))</f>
        <v/>
      </c>
      <c r="C129" s="5">
        <f>IFERROR(VLOOKUP(B129,Customers!A:B,2,FALSE),"")</f>
        <v/>
      </c>
      <c r="N129" s="5">
        <f>IF(K129="","",K129-IFERROR(L129,0)-IFERROR(M129,0))</f>
        <v/>
      </c>
    </row>
    <row r="130">
      <c r="A130" s="5">
        <f>IF(B130="","","ORD-"&amp;TEXT(ROW()-1,"0000"))</f>
        <v/>
      </c>
      <c r="C130" s="5">
        <f>IFERROR(VLOOKUP(B130,Customers!A:B,2,FALSE),"")</f>
        <v/>
      </c>
      <c r="N130" s="5">
        <f>IF(K130="","",K130-IFERROR(L130,0)-IFERROR(M130,0))</f>
        <v/>
      </c>
    </row>
    <row r="131">
      <c r="A131" s="5">
        <f>IF(B131="","","ORD-"&amp;TEXT(ROW()-1,"0000"))</f>
        <v/>
      </c>
      <c r="C131" s="5">
        <f>IFERROR(VLOOKUP(B131,Customers!A:B,2,FALSE),"")</f>
        <v/>
      </c>
      <c r="N131" s="5">
        <f>IF(K131="","",K131-IFERROR(L131,0)-IFERROR(M131,0))</f>
        <v/>
      </c>
    </row>
    <row r="132">
      <c r="A132" s="5">
        <f>IF(B132="","","ORD-"&amp;TEXT(ROW()-1,"0000"))</f>
        <v/>
      </c>
      <c r="C132" s="5">
        <f>IFERROR(VLOOKUP(B132,Customers!A:B,2,FALSE),"")</f>
        <v/>
      </c>
      <c r="N132" s="5">
        <f>IF(K132="","",K132-IFERROR(L132,0)-IFERROR(M132,0))</f>
        <v/>
      </c>
    </row>
    <row r="133">
      <c r="A133" s="5">
        <f>IF(B133="","","ORD-"&amp;TEXT(ROW()-1,"0000"))</f>
        <v/>
      </c>
      <c r="C133" s="5">
        <f>IFERROR(VLOOKUP(B133,Customers!A:B,2,FALSE),"")</f>
        <v/>
      </c>
      <c r="N133" s="5">
        <f>IF(K133="","",K133-IFERROR(L133,0)-IFERROR(M133,0))</f>
        <v/>
      </c>
    </row>
    <row r="134">
      <c r="A134" s="5">
        <f>IF(B134="","","ORD-"&amp;TEXT(ROW()-1,"0000"))</f>
        <v/>
      </c>
      <c r="C134" s="5">
        <f>IFERROR(VLOOKUP(B134,Customers!A:B,2,FALSE),"")</f>
        <v/>
      </c>
      <c r="N134" s="5">
        <f>IF(K134="","",K134-IFERROR(L134,0)-IFERROR(M134,0))</f>
        <v/>
      </c>
    </row>
    <row r="135">
      <c r="A135" s="5">
        <f>IF(B135="","","ORD-"&amp;TEXT(ROW()-1,"0000"))</f>
        <v/>
      </c>
      <c r="C135" s="5">
        <f>IFERROR(VLOOKUP(B135,Customers!A:B,2,FALSE),"")</f>
        <v/>
      </c>
      <c r="N135" s="5">
        <f>IF(K135="","",K135-IFERROR(L135,0)-IFERROR(M135,0))</f>
        <v/>
      </c>
    </row>
    <row r="136">
      <c r="A136" s="5">
        <f>IF(B136="","","ORD-"&amp;TEXT(ROW()-1,"0000"))</f>
        <v/>
      </c>
      <c r="C136" s="5">
        <f>IFERROR(VLOOKUP(B136,Customers!A:B,2,FALSE),"")</f>
        <v/>
      </c>
      <c r="N136" s="5">
        <f>IF(K136="","",K136-IFERROR(L136,0)-IFERROR(M136,0))</f>
        <v/>
      </c>
    </row>
    <row r="137">
      <c r="A137" s="5">
        <f>IF(B137="","","ORD-"&amp;TEXT(ROW()-1,"0000"))</f>
        <v/>
      </c>
      <c r="C137" s="5">
        <f>IFERROR(VLOOKUP(B137,Customers!A:B,2,FALSE),"")</f>
        <v/>
      </c>
      <c r="N137" s="5">
        <f>IF(K137="","",K137-IFERROR(L137,0)-IFERROR(M137,0))</f>
        <v/>
      </c>
    </row>
    <row r="138">
      <c r="A138" s="5">
        <f>IF(B138="","","ORD-"&amp;TEXT(ROW()-1,"0000"))</f>
        <v/>
      </c>
      <c r="C138" s="5">
        <f>IFERROR(VLOOKUP(B138,Customers!A:B,2,FALSE),"")</f>
        <v/>
      </c>
      <c r="N138" s="5">
        <f>IF(K138="","",K138-IFERROR(L138,0)-IFERROR(M138,0))</f>
        <v/>
      </c>
    </row>
    <row r="139">
      <c r="A139" s="5">
        <f>IF(B139="","","ORD-"&amp;TEXT(ROW()-1,"0000"))</f>
        <v/>
      </c>
      <c r="C139" s="5">
        <f>IFERROR(VLOOKUP(B139,Customers!A:B,2,FALSE),"")</f>
        <v/>
      </c>
      <c r="N139" s="5">
        <f>IF(K139="","",K139-IFERROR(L139,0)-IFERROR(M139,0))</f>
        <v/>
      </c>
    </row>
    <row r="140">
      <c r="A140" s="5">
        <f>IF(B140="","","ORD-"&amp;TEXT(ROW()-1,"0000"))</f>
        <v/>
      </c>
      <c r="C140" s="5">
        <f>IFERROR(VLOOKUP(B140,Customers!A:B,2,FALSE),"")</f>
        <v/>
      </c>
      <c r="N140" s="5">
        <f>IF(K140="","",K140-IFERROR(L140,0)-IFERROR(M140,0))</f>
        <v/>
      </c>
    </row>
    <row r="141">
      <c r="A141" s="5">
        <f>IF(B141="","","ORD-"&amp;TEXT(ROW()-1,"0000"))</f>
        <v/>
      </c>
      <c r="C141" s="5">
        <f>IFERROR(VLOOKUP(B141,Customers!A:B,2,FALSE),"")</f>
        <v/>
      </c>
      <c r="N141" s="5">
        <f>IF(K141="","",K141-IFERROR(L141,0)-IFERROR(M141,0))</f>
        <v/>
      </c>
    </row>
    <row r="142">
      <c r="A142" s="5">
        <f>IF(B142="","","ORD-"&amp;TEXT(ROW()-1,"0000"))</f>
        <v/>
      </c>
      <c r="C142" s="5">
        <f>IFERROR(VLOOKUP(B142,Customers!A:B,2,FALSE),"")</f>
        <v/>
      </c>
      <c r="N142" s="5">
        <f>IF(K142="","",K142-IFERROR(L142,0)-IFERROR(M142,0))</f>
        <v/>
      </c>
    </row>
    <row r="143">
      <c r="A143" s="5">
        <f>IF(B143="","","ORD-"&amp;TEXT(ROW()-1,"0000"))</f>
        <v/>
      </c>
      <c r="C143" s="5">
        <f>IFERROR(VLOOKUP(B143,Customers!A:B,2,FALSE),"")</f>
        <v/>
      </c>
      <c r="N143" s="5">
        <f>IF(K143="","",K143-IFERROR(L143,0)-IFERROR(M143,0))</f>
        <v/>
      </c>
    </row>
    <row r="144">
      <c r="A144" s="5">
        <f>IF(B144="","","ORD-"&amp;TEXT(ROW()-1,"0000"))</f>
        <v/>
      </c>
      <c r="C144" s="5">
        <f>IFERROR(VLOOKUP(B144,Customers!A:B,2,FALSE),"")</f>
        <v/>
      </c>
      <c r="N144" s="5">
        <f>IF(K144="","",K144-IFERROR(L144,0)-IFERROR(M144,0))</f>
        <v/>
      </c>
    </row>
    <row r="145">
      <c r="A145" s="5">
        <f>IF(B145="","","ORD-"&amp;TEXT(ROW()-1,"0000"))</f>
        <v/>
      </c>
      <c r="C145" s="5">
        <f>IFERROR(VLOOKUP(B145,Customers!A:B,2,FALSE),"")</f>
        <v/>
      </c>
      <c r="N145" s="5">
        <f>IF(K145="","",K145-IFERROR(L145,0)-IFERROR(M145,0))</f>
        <v/>
      </c>
    </row>
    <row r="146">
      <c r="A146" s="5">
        <f>IF(B146="","","ORD-"&amp;TEXT(ROW()-1,"0000"))</f>
        <v/>
      </c>
      <c r="C146" s="5">
        <f>IFERROR(VLOOKUP(B146,Customers!A:B,2,FALSE),"")</f>
        <v/>
      </c>
      <c r="N146" s="5">
        <f>IF(K146="","",K146-IFERROR(L146,0)-IFERROR(M146,0))</f>
        <v/>
      </c>
    </row>
    <row r="147">
      <c r="A147" s="5">
        <f>IF(B147="","","ORD-"&amp;TEXT(ROW()-1,"0000"))</f>
        <v/>
      </c>
      <c r="C147" s="5">
        <f>IFERROR(VLOOKUP(B147,Customers!A:B,2,FALSE),"")</f>
        <v/>
      </c>
      <c r="N147" s="5">
        <f>IF(K147="","",K147-IFERROR(L147,0)-IFERROR(M147,0))</f>
        <v/>
      </c>
    </row>
    <row r="148">
      <c r="A148" s="5">
        <f>IF(B148="","","ORD-"&amp;TEXT(ROW()-1,"0000"))</f>
        <v/>
      </c>
      <c r="C148" s="5">
        <f>IFERROR(VLOOKUP(B148,Customers!A:B,2,FALSE),"")</f>
        <v/>
      </c>
      <c r="N148" s="5">
        <f>IF(K148="","",K148-IFERROR(L148,0)-IFERROR(M148,0))</f>
        <v/>
      </c>
    </row>
    <row r="149">
      <c r="A149" s="5">
        <f>IF(B149="","","ORD-"&amp;TEXT(ROW()-1,"0000"))</f>
        <v/>
      </c>
      <c r="C149" s="5">
        <f>IFERROR(VLOOKUP(B149,Customers!A:B,2,FALSE),"")</f>
        <v/>
      </c>
      <c r="N149" s="5">
        <f>IF(K149="","",K149-IFERROR(L149,0)-IFERROR(M149,0))</f>
        <v/>
      </c>
    </row>
    <row r="150">
      <c r="A150" s="5">
        <f>IF(B150="","","ORD-"&amp;TEXT(ROW()-1,"0000"))</f>
        <v/>
      </c>
      <c r="C150" s="5">
        <f>IFERROR(VLOOKUP(B150,Customers!A:B,2,FALSE),"")</f>
        <v/>
      </c>
      <c r="N150" s="5">
        <f>IF(K150="","",K150-IFERROR(L150,0)-IFERROR(M150,0))</f>
        <v/>
      </c>
    </row>
    <row r="151">
      <c r="A151" s="5">
        <f>IF(B151="","","ORD-"&amp;TEXT(ROW()-1,"0000"))</f>
        <v/>
      </c>
      <c r="C151" s="5">
        <f>IFERROR(VLOOKUP(B151,Customers!A:B,2,FALSE),"")</f>
        <v/>
      </c>
      <c r="N151" s="5">
        <f>IF(K151="","",K151-IFERROR(L151,0)-IFERROR(M151,0))</f>
        <v/>
      </c>
    </row>
    <row r="152">
      <c r="A152" s="5">
        <f>IF(B152="","","ORD-"&amp;TEXT(ROW()-1,"0000"))</f>
        <v/>
      </c>
      <c r="C152" s="5">
        <f>IFERROR(VLOOKUP(B152,Customers!A:B,2,FALSE),"")</f>
        <v/>
      </c>
      <c r="N152" s="5">
        <f>IF(K152="","",K152-IFERROR(L152,0)-IFERROR(M152,0))</f>
        <v/>
      </c>
    </row>
    <row r="153">
      <c r="A153" s="5">
        <f>IF(B153="","","ORD-"&amp;TEXT(ROW()-1,"0000"))</f>
        <v/>
      </c>
      <c r="C153" s="5">
        <f>IFERROR(VLOOKUP(B153,Customers!A:B,2,FALSE),"")</f>
        <v/>
      </c>
      <c r="N153" s="5">
        <f>IF(K153="","",K153-IFERROR(L153,0)-IFERROR(M153,0))</f>
        <v/>
      </c>
    </row>
    <row r="154">
      <c r="A154" s="5">
        <f>IF(B154="","","ORD-"&amp;TEXT(ROW()-1,"0000"))</f>
        <v/>
      </c>
      <c r="C154" s="5">
        <f>IFERROR(VLOOKUP(B154,Customers!A:B,2,FALSE),"")</f>
        <v/>
      </c>
      <c r="N154" s="5">
        <f>IF(K154="","",K154-IFERROR(L154,0)-IFERROR(M154,0))</f>
        <v/>
      </c>
    </row>
    <row r="155">
      <c r="A155" s="5">
        <f>IF(B155="","","ORD-"&amp;TEXT(ROW()-1,"0000"))</f>
        <v/>
      </c>
      <c r="C155" s="5">
        <f>IFERROR(VLOOKUP(B155,Customers!A:B,2,FALSE),"")</f>
        <v/>
      </c>
      <c r="N155" s="5">
        <f>IF(K155="","",K155-IFERROR(L155,0)-IFERROR(M155,0))</f>
        <v/>
      </c>
    </row>
    <row r="156">
      <c r="A156" s="5">
        <f>IF(B156="","","ORD-"&amp;TEXT(ROW()-1,"0000"))</f>
        <v/>
      </c>
      <c r="C156" s="5">
        <f>IFERROR(VLOOKUP(B156,Customers!A:B,2,FALSE),"")</f>
        <v/>
      </c>
      <c r="N156" s="5">
        <f>IF(K156="","",K156-IFERROR(L156,0)-IFERROR(M156,0))</f>
        <v/>
      </c>
    </row>
    <row r="157">
      <c r="A157" s="5">
        <f>IF(B157="","","ORD-"&amp;TEXT(ROW()-1,"0000"))</f>
        <v/>
      </c>
      <c r="C157" s="5">
        <f>IFERROR(VLOOKUP(B157,Customers!A:B,2,FALSE),"")</f>
        <v/>
      </c>
      <c r="N157" s="5">
        <f>IF(K157="","",K157-IFERROR(L157,0)-IFERROR(M157,0))</f>
        <v/>
      </c>
    </row>
    <row r="158">
      <c r="A158" s="5">
        <f>IF(B158="","","ORD-"&amp;TEXT(ROW()-1,"0000"))</f>
        <v/>
      </c>
      <c r="C158" s="5">
        <f>IFERROR(VLOOKUP(B158,Customers!A:B,2,FALSE),"")</f>
        <v/>
      </c>
      <c r="N158" s="5">
        <f>IF(K158="","",K158-IFERROR(L158,0)-IFERROR(M158,0))</f>
        <v/>
      </c>
    </row>
    <row r="159">
      <c r="A159" s="5">
        <f>IF(B159="","","ORD-"&amp;TEXT(ROW()-1,"0000"))</f>
        <v/>
      </c>
      <c r="C159" s="5">
        <f>IFERROR(VLOOKUP(B159,Customers!A:B,2,FALSE),"")</f>
        <v/>
      </c>
      <c r="N159" s="5">
        <f>IF(K159="","",K159-IFERROR(L159,0)-IFERROR(M159,0))</f>
        <v/>
      </c>
    </row>
    <row r="160">
      <c r="A160" s="5">
        <f>IF(B160="","","ORD-"&amp;TEXT(ROW()-1,"0000"))</f>
        <v/>
      </c>
      <c r="C160" s="5">
        <f>IFERROR(VLOOKUP(B160,Customers!A:B,2,FALSE),"")</f>
        <v/>
      </c>
      <c r="N160" s="5">
        <f>IF(K160="","",K160-IFERROR(L160,0)-IFERROR(M160,0))</f>
        <v/>
      </c>
    </row>
    <row r="161">
      <c r="A161" s="5">
        <f>IF(B161="","","ORD-"&amp;TEXT(ROW()-1,"0000"))</f>
        <v/>
      </c>
      <c r="C161" s="5">
        <f>IFERROR(VLOOKUP(B161,Customers!A:B,2,FALSE),"")</f>
        <v/>
      </c>
      <c r="N161" s="5">
        <f>IF(K161="","",K161-IFERROR(L161,0)-IFERROR(M161,0))</f>
        <v/>
      </c>
    </row>
    <row r="162">
      <c r="A162" s="5">
        <f>IF(B162="","","ORD-"&amp;TEXT(ROW()-1,"0000"))</f>
        <v/>
      </c>
      <c r="C162" s="5">
        <f>IFERROR(VLOOKUP(B162,Customers!A:B,2,FALSE),"")</f>
        <v/>
      </c>
      <c r="N162" s="5">
        <f>IF(K162="","",K162-IFERROR(L162,0)-IFERROR(M162,0))</f>
        <v/>
      </c>
    </row>
    <row r="163">
      <c r="A163" s="5">
        <f>IF(B163="","","ORD-"&amp;TEXT(ROW()-1,"0000"))</f>
        <v/>
      </c>
      <c r="C163" s="5">
        <f>IFERROR(VLOOKUP(B163,Customers!A:B,2,FALSE),"")</f>
        <v/>
      </c>
      <c r="N163" s="5">
        <f>IF(K163="","",K163-IFERROR(L163,0)-IFERROR(M163,0))</f>
        <v/>
      </c>
    </row>
    <row r="164">
      <c r="A164" s="5">
        <f>IF(B164="","","ORD-"&amp;TEXT(ROW()-1,"0000"))</f>
        <v/>
      </c>
      <c r="C164" s="5">
        <f>IFERROR(VLOOKUP(B164,Customers!A:B,2,FALSE),"")</f>
        <v/>
      </c>
      <c r="N164" s="5">
        <f>IF(K164="","",K164-IFERROR(L164,0)-IFERROR(M164,0))</f>
        <v/>
      </c>
    </row>
    <row r="165">
      <c r="A165" s="5">
        <f>IF(B165="","","ORD-"&amp;TEXT(ROW()-1,"0000"))</f>
        <v/>
      </c>
      <c r="C165" s="5">
        <f>IFERROR(VLOOKUP(B165,Customers!A:B,2,FALSE),"")</f>
        <v/>
      </c>
      <c r="N165" s="5">
        <f>IF(K165="","",K165-IFERROR(L165,0)-IFERROR(M165,0))</f>
        <v/>
      </c>
    </row>
    <row r="166">
      <c r="A166" s="5">
        <f>IF(B166="","","ORD-"&amp;TEXT(ROW()-1,"0000"))</f>
        <v/>
      </c>
      <c r="C166" s="5">
        <f>IFERROR(VLOOKUP(B166,Customers!A:B,2,FALSE),"")</f>
        <v/>
      </c>
      <c r="N166" s="5">
        <f>IF(K166="","",K166-IFERROR(L166,0)-IFERROR(M166,0))</f>
        <v/>
      </c>
    </row>
    <row r="167">
      <c r="A167" s="5">
        <f>IF(B167="","","ORD-"&amp;TEXT(ROW()-1,"0000"))</f>
        <v/>
      </c>
      <c r="C167" s="5">
        <f>IFERROR(VLOOKUP(B167,Customers!A:B,2,FALSE),"")</f>
        <v/>
      </c>
      <c r="N167" s="5">
        <f>IF(K167="","",K167-IFERROR(L167,0)-IFERROR(M167,0))</f>
        <v/>
      </c>
    </row>
    <row r="168">
      <c r="A168" s="5">
        <f>IF(B168="","","ORD-"&amp;TEXT(ROW()-1,"0000"))</f>
        <v/>
      </c>
      <c r="C168" s="5">
        <f>IFERROR(VLOOKUP(B168,Customers!A:B,2,FALSE),"")</f>
        <v/>
      </c>
      <c r="N168" s="5">
        <f>IF(K168="","",K168-IFERROR(L168,0)-IFERROR(M168,0))</f>
        <v/>
      </c>
    </row>
    <row r="169">
      <c r="A169" s="5">
        <f>IF(B169="","","ORD-"&amp;TEXT(ROW()-1,"0000"))</f>
        <v/>
      </c>
      <c r="C169" s="5">
        <f>IFERROR(VLOOKUP(B169,Customers!A:B,2,FALSE),"")</f>
        <v/>
      </c>
      <c r="N169" s="5">
        <f>IF(K169="","",K169-IFERROR(L169,0)-IFERROR(M169,0))</f>
        <v/>
      </c>
    </row>
    <row r="170">
      <c r="A170" s="5">
        <f>IF(B170="","","ORD-"&amp;TEXT(ROW()-1,"0000"))</f>
        <v/>
      </c>
      <c r="C170" s="5">
        <f>IFERROR(VLOOKUP(B170,Customers!A:B,2,FALSE),"")</f>
        <v/>
      </c>
      <c r="N170" s="5">
        <f>IF(K170="","",K170-IFERROR(L170,0)-IFERROR(M170,0))</f>
        <v/>
      </c>
    </row>
    <row r="171">
      <c r="A171" s="5">
        <f>IF(B171="","","ORD-"&amp;TEXT(ROW()-1,"0000"))</f>
        <v/>
      </c>
      <c r="C171" s="5">
        <f>IFERROR(VLOOKUP(B171,Customers!A:B,2,FALSE),"")</f>
        <v/>
      </c>
      <c r="N171" s="5">
        <f>IF(K171="","",K171-IFERROR(L171,0)-IFERROR(M171,0))</f>
        <v/>
      </c>
    </row>
    <row r="172">
      <c r="A172" s="5">
        <f>IF(B172="","","ORD-"&amp;TEXT(ROW()-1,"0000"))</f>
        <v/>
      </c>
      <c r="C172" s="5">
        <f>IFERROR(VLOOKUP(B172,Customers!A:B,2,FALSE),"")</f>
        <v/>
      </c>
      <c r="N172" s="5">
        <f>IF(K172="","",K172-IFERROR(L172,0)-IFERROR(M172,0))</f>
        <v/>
      </c>
    </row>
    <row r="173">
      <c r="A173" s="5">
        <f>IF(B173="","","ORD-"&amp;TEXT(ROW()-1,"0000"))</f>
        <v/>
      </c>
      <c r="C173" s="5">
        <f>IFERROR(VLOOKUP(B173,Customers!A:B,2,FALSE),"")</f>
        <v/>
      </c>
      <c r="N173" s="5">
        <f>IF(K173="","",K173-IFERROR(L173,0)-IFERROR(M173,0))</f>
        <v/>
      </c>
    </row>
    <row r="174">
      <c r="A174" s="5">
        <f>IF(B174="","","ORD-"&amp;TEXT(ROW()-1,"0000"))</f>
        <v/>
      </c>
      <c r="C174" s="5">
        <f>IFERROR(VLOOKUP(B174,Customers!A:B,2,FALSE),"")</f>
        <v/>
      </c>
      <c r="N174" s="5">
        <f>IF(K174="","",K174-IFERROR(L174,0)-IFERROR(M174,0))</f>
        <v/>
      </c>
    </row>
    <row r="175">
      <c r="A175" s="5">
        <f>IF(B175="","","ORD-"&amp;TEXT(ROW()-1,"0000"))</f>
        <v/>
      </c>
      <c r="C175" s="5">
        <f>IFERROR(VLOOKUP(B175,Customers!A:B,2,FALSE),"")</f>
        <v/>
      </c>
      <c r="N175" s="5">
        <f>IF(K175="","",K175-IFERROR(L175,0)-IFERROR(M175,0))</f>
        <v/>
      </c>
    </row>
    <row r="176">
      <c r="A176" s="5">
        <f>IF(B176="","","ORD-"&amp;TEXT(ROW()-1,"0000"))</f>
        <v/>
      </c>
      <c r="C176" s="5">
        <f>IFERROR(VLOOKUP(B176,Customers!A:B,2,FALSE),"")</f>
        <v/>
      </c>
      <c r="N176" s="5">
        <f>IF(K176="","",K176-IFERROR(L176,0)-IFERROR(M176,0))</f>
        <v/>
      </c>
    </row>
    <row r="177">
      <c r="A177" s="5">
        <f>IF(B177="","","ORD-"&amp;TEXT(ROW()-1,"0000"))</f>
        <v/>
      </c>
      <c r="C177" s="5">
        <f>IFERROR(VLOOKUP(B177,Customers!A:B,2,FALSE),"")</f>
        <v/>
      </c>
      <c r="N177" s="5">
        <f>IF(K177="","",K177-IFERROR(L177,0)-IFERROR(M177,0))</f>
        <v/>
      </c>
    </row>
    <row r="178">
      <c r="A178" s="5">
        <f>IF(B178="","","ORD-"&amp;TEXT(ROW()-1,"0000"))</f>
        <v/>
      </c>
      <c r="C178" s="5">
        <f>IFERROR(VLOOKUP(B178,Customers!A:B,2,FALSE),"")</f>
        <v/>
      </c>
      <c r="N178" s="5">
        <f>IF(K178="","",K178-IFERROR(L178,0)-IFERROR(M178,0))</f>
        <v/>
      </c>
    </row>
    <row r="179">
      <c r="A179" s="5">
        <f>IF(B179="","","ORD-"&amp;TEXT(ROW()-1,"0000"))</f>
        <v/>
      </c>
      <c r="C179" s="5">
        <f>IFERROR(VLOOKUP(B179,Customers!A:B,2,FALSE),"")</f>
        <v/>
      </c>
      <c r="N179" s="5">
        <f>IF(K179="","",K179-IFERROR(L179,0)-IFERROR(M179,0))</f>
        <v/>
      </c>
    </row>
    <row r="180">
      <c r="A180" s="5">
        <f>IF(B180="","","ORD-"&amp;TEXT(ROW()-1,"0000"))</f>
        <v/>
      </c>
      <c r="C180" s="5">
        <f>IFERROR(VLOOKUP(B180,Customers!A:B,2,FALSE),"")</f>
        <v/>
      </c>
      <c r="N180" s="5">
        <f>IF(K180="","",K180-IFERROR(L180,0)-IFERROR(M180,0))</f>
        <v/>
      </c>
    </row>
    <row r="181">
      <c r="A181" s="5">
        <f>IF(B181="","","ORD-"&amp;TEXT(ROW()-1,"0000"))</f>
        <v/>
      </c>
      <c r="C181" s="5">
        <f>IFERROR(VLOOKUP(B181,Customers!A:B,2,FALSE),"")</f>
        <v/>
      </c>
      <c r="N181" s="5">
        <f>IF(K181="","",K181-IFERROR(L181,0)-IFERROR(M181,0))</f>
        <v/>
      </c>
    </row>
    <row r="182">
      <c r="A182" s="5">
        <f>IF(B182="","","ORD-"&amp;TEXT(ROW()-1,"0000"))</f>
        <v/>
      </c>
      <c r="C182" s="5">
        <f>IFERROR(VLOOKUP(B182,Customers!A:B,2,FALSE),"")</f>
        <v/>
      </c>
      <c r="N182" s="5">
        <f>IF(K182="","",K182-IFERROR(L182,0)-IFERROR(M182,0))</f>
        <v/>
      </c>
    </row>
    <row r="183">
      <c r="A183" s="5">
        <f>IF(B183="","","ORD-"&amp;TEXT(ROW()-1,"0000"))</f>
        <v/>
      </c>
      <c r="C183" s="5">
        <f>IFERROR(VLOOKUP(B183,Customers!A:B,2,FALSE),"")</f>
        <v/>
      </c>
      <c r="N183" s="5">
        <f>IF(K183="","",K183-IFERROR(L183,0)-IFERROR(M183,0))</f>
        <v/>
      </c>
    </row>
    <row r="184">
      <c r="A184" s="5">
        <f>IF(B184="","","ORD-"&amp;TEXT(ROW()-1,"0000"))</f>
        <v/>
      </c>
      <c r="C184" s="5">
        <f>IFERROR(VLOOKUP(B184,Customers!A:B,2,FALSE),"")</f>
        <v/>
      </c>
      <c r="N184" s="5">
        <f>IF(K184="","",K184-IFERROR(L184,0)-IFERROR(M184,0))</f>
        <v/>
      </c>
    </row>
    <row r="185">
      <c r="A185" s="5">
        <f>IF(B185="","","ORD-"&amp;TEXT(ROW()-1,"0000"))</f>
        <v/>
      </c>
      <c r="C185" s="5">
        <f>IFERROR(VLOOKUP(B185,Customers!A:B,2,FALSE),"")</f>
        <v/>
      </c>
      <c r="N185" s="5">
        <f>IF(K185="","",K185-IFERROR(L185,0)-IFERROR(M185,0))</f>
        <v/>
      </c>
    </row>
    <row r="186">
      <c r="A186" s="5">
        <f>IF(B186="","","ORD-"&amp;TEXT(ROW()-1,"0000"))</f>
        <v/>
      </c>
      <c r="C186" s="5">
        <f>IFERROR(VLOOKUP(B186,Customers!A:B,2,FALSE),"")</f>
        <v/>
      </c>
      <c r="N186" s="5">
        <f>IF(K186="","",K186-IFERROR(L186,0)-IFERROR(M186,0))</f>
        <v/>
      </c>
    </row>
    <row r="187">
      <c r="A187" s="5">
        <f>IF(B187="","","ORD-"&amp;TEXT(ROW()-1,"0000"))</f>
        <v/>
      </c>
      <c r="C187" s="5">
        <f>IFERROR(VLOOKUP(B187,Customers!A:B,2,FALSE),"")</f>
        <v/>
      </c>
      <c r="N187" s="5">
        <f>IF(K187="","",K187-IFERROR(L187,0)-IFERROR(M187,0))</f>
        <v/>
      </c>
    </row>
    <row r="188">
      <c r="A188" s="5">
        <f>IF(B188="","","ORD-"&amp;TEXT(ROW()-1,"0000"))</f>
        <v/>
      </c>
      <c r="C188" s="5">
        <f>IFERROR(VLOOKUP(B188,Customers!A:B,2,FALSE),"")</f>
        <v/>
      </c>
      <c r="N188" s="5">
        <f>IF(K188="","",K188-IFERROR(L188,0)-IFERROR(M188,0))</f>
        <v/>
      </c>
    </row>
    <row r="189">
      <c r="A189" s="5">
        <f>IF(B189="","","ORD-"&amp;TEXT(ROW()-1,"0000"))</f>
        <v/>
      </c>
      <c r="C189" s="5">
        <f>IFERROR(VLOOKUP(B189,Customers!A:B,2,FALSE),"")</f>
        <v/>
      </c>
      <c r="N189" s="5">
        <f>IF(K189="","",K189-IFERROR(L189,0)-IFERROR(M189,0))</f>
        <v/>
      </c>
    </row>
    <row r="190">
      <c r="A190" s="5">
        <f>IF(B190="","","ORD-"&amp;TEXT(ROW()-1,"0000"))</f>
        <v/>
      </c>
      <c r="C190" s="5">
        <f>IFERROR(VLOOKUP(B190,Customers!A:B,2,FALSE),"")</f>
        <v/>
      </c>
      <c r="N190" s="5">
        <f>IF(K190="","",K190-IFERROR(L190,0)-IFERROR(M190,0))</f>
        <v/>
      </c>
    </row>
    <row r="191">
      <c r="A191" s="5">
        <f>IF(B191="","","ORD-"&amp;TEXT(ROW()-1,"0000"))</f>
        <v/>
      </c>
      <c r="C191" s="5">
        <f>IFERROR(VLOOKUP(B191,Customers!A:B,2,FALSE),"")</f>
        <v/>
      </c>
      <c r="N191" s="5">
        <f>IF(K191="","",K191-IFERROR(L191,0)-IFERROR(M191,0))</f>
        <v/>
      </c>
    </row>
    <row r="192">
      <c r="A192" s="5">
        <f>IF(B192="","","ORD-"&amp;TEXT(ROW()-1,"0000"))</f>
        <v/>
      </c>
      <c r="C192" s="5">
        <f>IFERROR(VLOOKUP(B192,Customers!A:B,2,FALSE),"")</f>
        <v/>
      </c>
      <c r="N192" s="5">
        <f>IF(K192="","",K192-IFERROR(L192,0)-IFERROR(M192,0))</f>
        <v/>
      </c>
    </row>
    <row r="193">
      <c r="A193" s="5">
        <f>IF(B193="","","ORD-"&amp;TEXT(ROW()-1,"0000"))</f>
        <v/>
      </c>
      <c r="C193" s="5">
        <f>IFERROR(VLOOKUP(B193,Customers!A:B,2,FALSE),"")</f>
        <v/>
      </c>
      <c r="N193" s="5">
        <f>IF(K193="","",K193-IFERROR(L193,0)-IFERROR(M193,0))</f>
        <v/>
      </c>
    </row>
    <row r="194">
      <c r="A194" s="5">
        <f>IF(B194="","","ORD-"&amp;TEXT(ROW()-1,"0000"))</f>
        <v/>
      </c>
      <c r="C194" s="5">
        <f>IFERROR(VLOOKUP(B194,Customers!A:B,2,FALSE),"")</f>
        <v/>
      </c>
      <c r="N194" s="5">
        <f>IF(K194="","",K194-IFERROR(L194,0)-IFERROR(M194,0))</f>
        <v/>
      </c>
    </row>
    <row r="195">
      <c r="A195" s="5">
        <f>IF(B195="","","ORD-"&amp;TEXT(ROW()-1,"0000"))</f>
        <v/>
      </c>
      <c r="C195" s="5">
        <f>IFERROR(VLOOKUP(B195,Customers!A:B,2,FALSE),"")</f>
        <v/>
      </c>
      <c r="N195" s="5">
        <f>IF(K195="","",K195-IFERROR(L195,0)-IFERROR(M195,0))</f>
        <v/>
      </c>
    </row>
    <row r="196">
      <c r="A196" s="5">
        <f>IF(B196="","","ORD-"&amp;TEXT(ROW()-1,"0000"))</f>
        <v/>
      </c>
      <c r="C196" s="5">
        <f>IFERROR(VLOOKUP(B196,Customers!A:B,2,FALSE),"")</f>
        <v/>
      </c>
      <c r="N196" s="5">
        <f>IF(K196="","",K196-IFERROR(L196,0)-IFERROR(M196,0))</f>
        <v/>
      </c>
    </row>
    <row r="197">
      <c r="A197" s="5">
        <f>IF(B197="","","ORD-"&amp;TEXT(ROW()-1,"0000"))</f>
        <v/>
      </c>
      <c r="C197" s="5">
        <f>IFERROR(VLOOKUP(B197,Customers!A:B,2,FALSE),"")</f>
        <v/>
      </c>
      <c r="N197" s="5">
        <f>IF(K197="","",K197-IFERROR(L197,0)-IFERROR(M197,0))</f>
        <v/>
      </c>
    </row>
    <row r="198">
      <c r="A198" s="5">
        <f>IF(B198="","","ORD-"&amp;TEXT(ROW()-1,"0000"))</f>
        <v/>
      </c>
      <c r="C198" s="5">
        <f>IFERROR(VLOOKUP(B198,Customers!A:B,2,FALSE),"")</f>
        <v/>
      </c>
      <c r="N198" s="5">
        <f>IF(K198="","",K198-IFERROR(L198,0)-IFERROR(M198,0))</f>
        <v/>
      </c>
    </row>
    <row r="199">
      <c r="A199" s="5">
        <f>IF(B199="","","ORD-"&amp;TEXT(ROW()-1,"0000"))</f>
        <v/>
      </c>
      <c r="C199" s="5">
        <f>IFERROR(VLOOKUP(B199,Customers!A:B,2,FALSE),"")</f>
        <v/>
      </c>
      <c r="N199" s="5">
        <f>IF(K199="","",K199-IFERROR(L199,0)-IFERROR(M199,0))</f>
        <v/>
      </c>
    </row>
    <row r="200">
      <c r="A200" s="5">
        <f>IF(B200="","","ORD-"&amp;TEXT(ROW()-1,"0000"))</f>
        <v/>
      </c>
      <c r="C200" s="5">
        <f>IFERROR(VLOOKUP(B200,Customers!A:B,2,FALSE),"")</f>
        <v/>
      </c>
      <c r="N200" s="5">
        <f>IF(K200="","",K200-IFERROR(L200,0)-IFERROR(M200,0))</f>
        <v/>
      </c>
    </row>
    <row r="201">
      <c r="A201" s="5">
        <f>IF(B201="","","ORD-"&amp;TEXT(ROW()-1,"0000"))</f>
        <v/>
      </c>
      <c r="C201" s="5">
        <f>IFERROR(VLOOKUP(B201,Customers!A:B,2,FALSE),"")</f>
        <v/>
      </c>
      <c r="N201" s="5">
        <f>IF(K201="","",K201-IFERROR(L201,0)-IFERROR(M201,0))</f>
        <v/>
      </c>
    </row>
    <row r="202">
      <c r="A202" s="5">
        <f>IF(B202="","","ORD-"&amp;TEXT(ROW()-1,"0000"))</f>
        <v/>
      </c>
      <c r="C202" s="5">
        <f>IFERROR(VLOOKUP(B202,Customers!A:B,2,FALSE),"")</f>
        <v/>
      </c>
      <c r="N202" s="5">
        <f>IF(K202="","",K202-IFERROR(L202,0)-IFERROR(M202,0))</f>
        <v/>
      </c>
    </row>
    <row r="203">
      <c r="A203" s="5">
        <f>IF(B203="","","ORD-"&amp;TEXT(ROW()-1,"0000"))</f>
        <v/>
      </c>
      <c r="C203" s="5">
        <f>IFERROR(VLOOKUP(B203,Customers!A:B,2,FALSE),"")</f>
        <v/>
      </c>
      <c r="N203" s="5">
        <f>IF(K203="","",K203-IFERROR(L203,0)-IFERROR(M203,0))</f>
        <v/>
      </c>
    </row>
    <row r="204">
      <c r="A204" s="5">
        <f>IF(B204="","","ORD-"&amp;TEXT(ROW()-1,"0000"))</f>
        <v/>
      </c>
      <c r="C204" s="5">
        <f>IFERROR(VLOOKUP(B204,Customers!A:B,2,FALSE),"")</f>
        <v/>
      </c>
      <c r="N204" s="5">
        <f>IF(K204="","",K204-IFERROR(L204,0)-IFERROR(M204,0))</f>
        <v/>
      </c>
    </row>
    <row r="205">
      <c r="A205" s="5">
        <f>IF(B205="","","ORD-"&amp;TEXT(ROW()-1,"0000"))</f>
        <v/>
      </c>
      <c r="C205" s="5">
        <f>IFERROR(VLOOKUP(B205,Customers!A:B,2,FALSE),"")</f>
        <v/>
      </c>
      <c r="N205" s="5">
        <f>IF(K205="","",K205-IFERROR(L205,0)-IFERROR(M205,0))</f>
        <v/>
      </c>
    </row>
    <row r="206">
      <c r="A206" s="5">
        <f>IF(B206="","","ORD-"&amp;TEXT(ROW()-1,"0000"))</f>
        <v/>
      </c>
      <c r="C206" s="5">
        <f>IFERROR(VLOOKUP(B206,Customers!A:B,2,FALSE),"")</f>
        <v/>
      </c>
      <c r="N206" s="5">
        <f>IF(K206="","",K206-IFERROR(L206,0)-IFERROR(M206,0))</f>
        <v/>
      </c>
    </row>
    <row r="207">
      <c r="A207" s="5">
        <f>IF(B207="","","ORD-"&amp;TEXT(ROW()-1,"0000"))</f>
        <v/>
      </c>
      <c r="C207" s="5">
        <f>IFERROR(VLOOKUP(B207,Customers!A:B,2,FALSE),"")</f>
        <v/>
      </c>
      <c r="N207" s="5">
        <f>IF(K207="","",K207-IFERROR(L207,0)-IFERROR(M207,0))</f>
        <v/>
      </c>
    </row>
    <row r="208">
      <c r="A208" s="5">
        <f>IF(B208="","","ORD-"&amp;TEXT(ROW()-1,"0000"))</f>
        <v/>
      </c>
      <c r="C208" s="5">
        <f>IFERROR(VLOOKUP(B208,Customers!A:B,2,FALSE),"")</f>
        <v/>
      </c>
      <c r="N208" s="5">
        <f>IF(K208="","",K208-IFERROR(L208,0)-IFERROR(M208,0))</f>
        <v/>
      </c>
    </row>
    <row r="209">
      <c r="A209" s="5">
        <f>IF(B209="","","ORD-"&amp;TEXT(ROW()-1,"0000"))</f>
        <v/>
      </c>
      <c r="C209" s="5">
        <f>IFERROR(VLOOKUP(B209,Customers!A:B,2,FALSE),"")</f>
        <v/>
      </c>
      <c r="N209" s="5">
        <f>IF(K209="","",K209-IFERROR(L209,0)-IFERROR(M209,0))</f>
        <v/>
      </c>
    </row>
    <row r="210">
      <c r="A210" s="5">
        <f>IF(B210="","","ORD-"&amp;TEXT(ROW()-1,"0000"))</f>
        <v/>
      </c>
      <c r="C210" s="5">
        <f>IFERROR(VLOOKUP(B210,Customers!A:B,2,FALSE),"")</f>
        <v/>
      </c>
      <c r="N210" s="5">
        <f>IF(K210="","",K210-IFERROR(L210,0)-IFERROR(M210,0))</f>
        <v/>
      </c>
    </row>
    <row r="211">
      <c r="A211" s="5">
        <f>IF(B211="","","ORD-"&amp;TEXT(ROW()-1,"0000"))</f>
        <v/>
      </c>
      <c r="C211" s="5">
        <f>IFERROR(VLOOKUP(B211,Customers!A:B,2,FALSE),"")</f>
        <v/>
      </c>
      <c r="N211" s="5">
        <f>IF(K211="","",K211-IFERROR(L211,0)-IFERROR(M211,0))</f>
        <v/>
      </c>
    </row>
    <row r="212">
      <c r="A212" s="5">
        <f>IF(B212="","","ORD-"&amp;TEXT(ROW()-1,"0000"))</f>
        <v/>
      </c>
      <c r="C212" s="5">
        <f>IFERROR(VLOOKUP(B212,Customers!A:B,2,FALSE),"")</f>
        <v/>
      </c>
      <c r="N212" s="5">
        <f>IF(K212="","",K212-IFERROR(L212,0)-IFERROR(M212,0))</f>
        <v/>
      </c>
    </row>
    <row r="213">
      <c r="A213" s="5">
        <f>IF(B213="","","ORD-"&amp;TEXT(ROW()-1,"0000"))</f>
        <v/>
      </c>
      <c r="C213" s="5">
        <f>IFERROR(VLOOKUP(B213,Customers!A:B,2,FALSE),"")</f>
        <v/>
      </c>
      <c r="N213" s="5">
        <f>IF(K213="","",K213-IFERROR(L213,0)-IFERROR(M213,0))</f>
        <v/>
      </c>
    </row>
    <row r="214">
      <c r="A214" s="5">
        <f>IF(B214="","","ORD-"&amp;TEXT(ROW()-1,"0000"))</f>
        <v/>
      </c>
      <c r="C214" s="5">
        <f>IFERROR(VLOOKUP(B214,Customers!A:B,2,FALSE),"")</f>
        <v/>
      </c>
      <c r="N214" s="5">
        <f>IF(K214="","",K214-IFERROR(L214,0)-IFERROR(M214,0))</f>
        <v/>
      </c>
    </row>
    <row r="215">
      <c r="A215" s="5">
        <f>IF(B215="","","ORD-"&amp;TEXT(ROW()-1,"0000"))</f>
        <v/>
      </c>
      <c r="C215" s="5">
        <f>IFERROR(VLOOKUP(B215,Customers!A:B,2,FALSE),"")</f>
        <v/>
      </c>
      <c r="N215" s="5">
        <f>IF(K215="","",K215-IFERROR(L215,0)-IFERROR(M215,0))</f>
        <v/>
      </c>
    </row>
    <row r="216">
      <c r="A216" s="5">
        <f>IF(B216="","","ORD-"&amp;TEXT(ROW()-1,"0000"))</f>
        <v/>
      </c>
      <c r="C216" s="5">
        <f>IFERROR(VLOOKUP(B216,Customers!A:B,2,FALSE),"")</f>
        <v/>
      </c>
      <c r="N216" s="5">
        <f>IF(K216="","",K216-IFERROR(L216,0)-IFERROR(M216,0))</f>
        <v/>
      </c>
    </row>
    <row r="217">
      <c r="A217" s="5">
        <f>IF(B217="","","ORD-"&amp;TEXT(ROW()-1,"0000"))</f>
        <v/>
      </c>
      <c r="C217" s="5">
        <f>IFERROR(VLOOKUP(B217,Customers!A:B,2,FALSE),"")</f>
        <v/>
      </c>
      <c r="N217" s="5">
        <f>IF(K217="","",K217-IFERROR(L217,0)-IFERROR(M217,0))</f>
        <v/>
      </c>
    </row>
    <row r="218">
      <c r="A218" s="5">
        <f>IF(B218="","","ORD-"&amp;TEXT(ROW()-1,"0000"))</f>
        <v/>
      </c>
      <c r="C218" s="5">
        <f>IFERROR(VLOOKUP(B218,Customers!A:B,2,FALSE),"")</f>
        <v/>
      </c>
      <c r="N218" s="5">
        <f>IF(K218="","",K218-IFERROR(L218,0)-IFERROR(M218,0))</f>
        <v/>
      </c>
    </row>
    <row r="219">
      <c r="A219" s="5">
        <f>IF(B219="","","ORD-"&amp;TEXT(ROW()-1,"0000"))</f>
        <v/>
      </c>
      <c r="C219" s="5">
        <f>IFERROR(VLOOKUP(B219,Customers!A:B,2,FALSE),"")</f>
        <v/>
      </c>
      <c r="N219" s="5">
        <f>IF(K219="","",K219-IFERROR(L219,0)-IFERROR(M219,0))</f>
        <v/>
      </c>
    </row>
    <row r="220">
      <c r="A220" s="5">
        <f>IF(B220="","","ORD-"&amp;TEXT(ROW()-1,"0000"))</f>
        <v/>
      </c>
      <c r="C220" s="5">
        <f>IFERROR(VLOOKUP(B220,Customers!A:B,2,FALSE),"")</f>
        <v/>
      </c>
      <c r="N220" s="5">
        <f>IF(K220="","",K220-IFERROR(L220,0)-IFERROR(M220,0))</f>
        <v/>
      </c>
    </row>
    <row r="221">
      <c r="A221" s="5">
        <f>IF(B221="","","ORD-"&amp;TEXT(ROW()-1,"0000"))</f>
        <v/>
      </c>
      <c r="C221" s="5">
        <f>IFERROR(VLOOKUP(B221,Customers!A:B,2,FALSE),"")</f>
        <v/>
      </c>
      <c r="N221" s="5">
        <f>IF(K221="","",K221-IFERROR(L221,0)-IFERROR(M221,0))</f>
        <v/>
      </c>
    </row>
    <row r="222">
      <c r="A222" s="5">
        <f>IF(B222="","","ORD-"&amp;TEXT(ROW()-1,"0000"))</f>
        <v/>
      </c>
      <c r="C222" s="5">
        <f>IFERROR(VLOOKUP(B222,Customers!A:B,2,FALSE),"")</f>
        <v/>
      </c>
      <c r="N222" s="5">
        <f>IF(K222="","",K222-IFERROR(L222,0)-IFERROR(M222,0))</f>
        <v/>
      </c>
    </row>
    <row r="223">
      <c r="A223" s="5">
        <f>IF(B223="","","ORD-"&amp;TEXT(ROW()-1,"0000"))</f>
        <v/>
      </c>
      <c r="C223" s="5">
        <f>IFERROR(VLOOKUP(B223,Customers!A:B,2,FALSE),"")</f>
        <v/>
      </c>
      <c r="N223" s="5">
        <f>IF(K223="","",K223-IFERROR(L223,0)-IFERROR(M223,0))</f>
        <v/>
      </c>
    </row>
    <row r="224">
      <c r="A224" s="5">
        <f>IF(B224="","","ORD-"&amp;TEXT(ROW()-1,"0000"))</f>
        <v/>
      </c>
      <c r="C224" s="5">
        <f>IFERROR(VLOOKUP(B224,Customers!A:B,2,FALSE),"")</f>
        <v/>
      </c>
      <c r="N224" s="5">
        <f>IF(K224="","",K224-IFERROR(L224,0)-IFERROR(M224,0))</f>
        <v/>
      </c>
    </row>
    <row r="225">
      <c r="A225" s="5">
        <f>IF(B225="","","ORD-"&amp;TEXT(ROW()-1,"0000"))</f>
        <v/>
      </c>
      <c r="C225" s="5">
        <f>IFERROR(VLOOKUP(B225,Customers!A:B,2,FALSE),"")</f>
        <v/>
      </c>
      <c r="N225" s="5">
        <f>IF(K225="","",K225-IFERROR(L225,0)-IFERROR(M225,0))</f>
        <v/>
      </c>
    </row>
    <row r="226">
      <c r="A226" s="5">
        <f>IF(B226="","","ORD-"&amp;TEXT(ROW()-1,"0000"))</f>
        <v/>
      </c>
      <c r="C226" s="5">
        <f>IFERROR(VLOOKUP(B226,Customers!A:B,2,FALSE),"")</f>
        <v/>
      </c>
      <c r="N226" s="5">
        <f>IF(K226="","",K226-IFERROR(L226,0)-IFERROR(M226,0))</f>
        <v/>
      </c>
    </row>
    <row r="227">
      <c r="A227" s="5">
        <f>IF(B227="","","ORD-"&amp;TEXT(ROW()-1,"0000"))</f>
        <v/>
      </c>
      <c r="C227" s="5">
        <f>IFERROR(VLOOKUP(B227,Customers!A:B,2,FALSE),"")</f>
        <v/>
      </c>
      <c r="N227" s="5">
        <f>IF(K227="","",K227-IFERROR(L227,0)-IFERROR(M227,0))</f>
        <v/>
      </c>
    </row>
    <row r="228">
      <c r="A228" s="5">
        <f>IF(B228="","","ORD-"&amp;TEXT(ROW()-1,"0000"))</f>
        <v/>
      </c>
      <c r="C228" s="5">
        <f>IFERROR(VLOOKUP(B228,Customers!A:B,2,FALSE),"")</f>
        <v/>
      </c>
      <c r="N228" s="5">
        <f>IF(K228="","",K228-IFERROR(L228,0)-IFERROR(M228,0))</f>
        <v/>
      </c>
    </row>
    <row r="229">
      <c r="A229" s="5">
        <f>IF(B229="","","ORD-"&amp;TEXT(ROW()-1,"0000"))</f>
        <v/>
      </c>
      <c r="C229" s="5">
        <f>IFERROR(VLOOKUP(B229,Customers!A:B,2,FALSE),"")</f>
        <v/>
      </c>
      <c r="N229" s="5">
        <f>IF(K229="","",K229-IFERROR(L229,0)-IFERROR(M229,0))</f>
        <v/>
      </c>
    </row>
    <row r="230">
      <c r="A230" s="5">
        <f>IF(B230="","","ORD-"&amp;TEXT(ROW()-1,"0000"))</f>
        <v/>
      </c>
      <c r="C230" s="5">
        <f>IFERROR(VLOOKUP(B230,Customers!A:B,2,FALSE),"")</f>
        <v/>
      </c>
      <c r="N230" s="5">
        <f>IF(K230="","",K230-IFERROR(L230,0)-IFERROR(M230,0))</f>
        <v/>
      </c>
    </row>
    <row r="231">
      <c r="A231" s="5">
        <f>IF(B231="","","ORD-"&amp;TEXT(ROW()-1,"0000"))</f>
        <v/>
      </c>
      <c r="C231" s="5">
        <f>IFERROR(VLOOKUP(B231,Customers!A:B,2,FALSE),"")</f>
        <v/>
      </c>
      <c r="N231" s="5">
        <f>IF(K231="","",K231-IFERROR(L231,0)-IFERROR(M231,0))</f>
        <v/>
      </c>
    </row>
    <row r="232">
      <c r="A232" s="5">
        <f>IF(B232="","","ORD-"&amp;TEXT(ROW()-1,"0000"))</f>
        <v/>
      </c>
      <c r="C232" s="5">
        <f>IFERROR(VLOOKUP(B232,Customers!A:B,2,FALSE),"")</f>
        <v/>
      </c>
      <c r="N232" s="5">
        <f>IF(K232="","",K232-IFERROR(L232,0)-IFERROR(M232,0))</f>
        <v/>
      </c>
    </row>
    <row r="233">
      <c r="A233" s="5">
        <f>IF(B233="","","ORD-"&amp;TEXT(ROW()-1,"0000"))</f>
        <v/>
      </c>
      <c r="C233" s="5">
        <f>IFERROR(VLOOKUP(B233,Customers!A:B,2,FALSE),"")</f>
        <v/>
      </c>
      <c r="N233" s="5">
        <f>IF(K233="","",K233-IFERROR(L233,0)-IFERROR(M233,0))</f>
        <v/>
      </c>
    </row>
    <row r="234">
      <c r="A234" s="5">
        <f>IF(B234="","","ORD-"&amp;TEXT(ROW()-1,"0000"))</f>
        <v/>
      </c>
      <c r="C234" s="5">
        <f>IFERROR(VLOOKUP(B234,Customers!A:B,2,FALSE),"")</f>
        <v/>
      </c>
      <c r="N234" s="5">
        <f>IF(K234="","",K234-IFERROR(L234,0)-IFERROR(M234,0))</f>
        <v/>
      </c>
    </row>
    <row r="235">
      <c r="A235" s="5">
        <f>IF(B235="","","ORD-"&amp;TEXT(ROW()-1,"0000"))</f>
        <v/>
      </c>
      <c r="C235" s="5">
        <f>IFERROR(VLOOKUP(B235,Customers!A:B,2,FALSE),"")</f>
        <v/>
      </c>
      <c r="N235" s="5">
        <f>IF(K235="","",K235-IFERROR(L235,0)-IFERROR(M235,0))</f>
        <v/>
      </c>
    </row>
    <row r="236">
      <c r="A236" s="5">
        <f>IF(B236="","","ORD-"&amp;TEXT(ROW()-1,"0000"))</f>
        <v/>
      </c>
      <c r="C236" s="5">
        <f>IFERROR(VLOOKUP(B236,Customers!A:B,2,FALSE),"")</f>
        <v/>
      </c>
      <c r="N236" s="5">
        <f>IF(K236="","",K236-IFERROR(L236,0)-IFERROR(M236,0))</f>
        <v/>
      </c>
    </row>
    <row r="237">
      <c r="A237" s="5">
        <f>IF(B237="","","ORD-"&amp;TEXT(ROW()-1,"0000"))</f>
        <v/>
      </c>
      <c r="C237" s="5">
        <f>IFERROR(VLOOKUP(B237,Customers!A:B,2,FALSE),"")</f>
        <v/>
      </c>
      <c r="N237" s="5">
        <f>IF(K237="","",K237-IFERROR(L237,0)-IFERROR(M237,0))</f>
        <v/>
      </c>
    </row>
    <row r="238">
      <c r="A238" s="5">
        <f>IF(B238="","","ORD-"&amp;TEXT(ROW()-1,"0000"))</f>
        <v/>
      </c>
      <c r="C238" s="5">
        <f>IFERROR(VLOOKUP(B238,Customers!A:B,2,FALSE),"")</f>
        <v/>
      </c>
      <c r="N238" s="5">
        <f>IF(K238="","",K238-IFERROR(L238,0)-IFERROR(M238,0))</f>
        <v/>
      </c>
    </row>
    <row r="239">
      <c r="A239" s="5">
        <f>IF(B239="","","ORD-"&amp;TEXT(ROW()-1,"0000"))</f>
        <v/>
      </c>
      <c r="C239" s="5">
        <f>IFERROR(VLOOKUP(B239,Customers!A:B,2,FALSE),"")</f>
        <v/>
      </c>
      <c r="N239" s="5">
        <f>IF(K239="","",K239-IFERROR(L239,0)-IFERROR(M239,0))</f>
        <v/>
      </c>
    </row>
    <row r="240">
      <c r="A240" s="5">
        <f>IF(B240="","","ORD-"&amp;TEXT(ROW()-1,"0000"))</f>
        <v/>
      </c>
      <c r="C240" s="5">
        <f>IFERROR(VLOOKUP(B240,Customers!A:B,2,FALSE),"")</f>
        <v/>
      </c>
      <c r="N240" s="5">
        <f>IF(K240="","",K240-IFERROR(L240,0)-IFERROR(M240,0))</f>
        <v/>
      </c>
    </row>
    <row r="241">
      <c r="A241" s="5">
        <f>IF(B241="","","ORD-"&amp;TEXT(ROW()-1,"0000"))</f>
        <v/>
      </c>
      <c r="C241" s="5">
        <f>IFERROR(VLOOKUP(B241,Customers!A:B,2,FALSE),"")</f>
        <v/>
      </c>
      <c r="N241" s="5">
        <f>IF(K241="","",K241-IFERROR(L241,0)-IFERROR(M241,0))</f>
        <v/>
      </c>
    </row>
    <row r="242">
      <c r="A242" s="5">
        <f>IF(B242="","","ORD-"&amp;TEXT(ROW()-1,"0000"))</f>
        <v/>
      </c>
      <c r="C242" s="5">
        <f>IFERROR(VLOOKUP(B242,Customers!A:B,2,FALSE),"")</f>
        <v/>
      </c>
      <c r="N242" s="5">
        <f>IF(K242="","",K242-IFERROR(L242,0)-IFERROR(M242,0))</f>
        <v/>
      </c>
    </row>
    <row r="243">
      <c r="A243" s="5">
        <f>IF(B243="","","ORD-"&amp;TEXT(ROW()-1,"0000"))</f>
        <v/>
      </c>
      <c r="C243" s="5">
        <f>IFERROR(VLOOKUP(B243,Customers!A:B,2,FALSE),"")</f>
        <v/>
      </c>
      <c r="N243" s="5">
        <f>IF(K243="","",K243-IFERROR(L243,0)-IFERROR(M243,0))</f>
        <v/>
      </c>
    </row>
    <row r="244">
      <c r="A244" s="5">
        <f>IF(B244="","","ORD-"&amp;TEXT(ROW()-1,"0000"))</f>
        <v/>
      </c>
      <c r="C244" s="5">
        <f>IFERROR(VLOOKUP(B244,Customers!A:B,2,FALSE),"")</f>
        <v/>
      </c>
      <c r="N244" s="5">
        <f>IF(K244="","",K244-IFERROR(L244,0)-IFERROR(M244,0))</f>
        <v/>
      </c>
    </row>
    <row r="245">
      <c r="A245" s="5">
        <f>IF(B245="","","ORD-"&amp;TEXT(ROW()-1,"0000"))</f>
        <v/>
      </c>
      <c r="C245" s="5">
        <f>IFERROR(VLOOKUP(B245,Customers!A:B,2,FALSE),"")</f>
        <v/>
      </c>
      <c r="N245" s="5">
        <f>IF(K245="","",K245-IFERROR(L245,0)-IFERROR(M245,0))</f>
        <v/>
      </c>
    </row>
    <row r="246">
      <c r="A246" s="5">
        <f>IF(B246="","","ORD-"&amp;TEXT(ROW()-1,"0000"))</f>
        <v/>
      </c>
      <c r="C246" s="5">
        <f>IFERROR(VLOOKUP(B246,Customers!A:B,2,FALSE),"")</f>
        <v/>
      </c>
      <c r="N246" s="5">
        <f>IF(K246="","",K246-IFERROR(L246,0)-IFERROR(M246,0))</f>
        <v/>
      </c>
    </row>
    <row r="247">
      <c r="A247" s="5">
        <f>IF(B247="","","ORD-"&amp;TEXT(ROW()-1,"0000"))</f>
        <v/>
      </c>
      <c r="C247" s="5">
        <f>IFERROR(VLOOKUP(B247,Customers!A:B,2,FALSE),"")</f>
        <v/>
      </c>
      <c r="N247" s="5">
        <f>IF(K247="","",K247-IFERROR(L247,0)-IFERROR(M247,0))</f>
        <v/>
      </c>
    </row>
    <row r="248">
      <c r="A248" s="5">
        <f>IF(B248="","","ORD-"&amp;TEXT(ROW()-1,"0000"))</f>
        <v/>
      </c>
      <c r="C248" s="5">
        <f>IFERROR(VLOOKUP(B248,Customers!A:B,2,FALSE),"")</f>
        <v/>
      </c>
      <c r="N248" s="5">
        <f>IF(K248="","",K248-IFERROR(L248,0)-IFERROR(M248,0))</f>
        <v/>
      </c>
    </row>
    <row r="249">
      <c r="A249" s="5">
        <f>IF(B249="","","ORD-"&amp;TEXT(ROW()-1,"0000"))</f>
        <v/>
      </c>
      <c r="C249" s="5">
        <f>IFERROR(VLOOKUP(B249,Customers!A:B,2,FALSE),"")</f>
        <v/>
      </c>
      <c r="N249" s="5">
        <f>IF(K249="","",K249-IFERROR(L249,0)-IFERROR(M249,0))</f>
        <v/>
      </c>
    </row>
    <row r="250">
      <c r="A250" s="5">
        <f>IF(B250="","","ORD-"&amp;TEXT(ROW()-1,"0000"))</f>
        <v/>
      </c>
      <c r="C250" s="5">
        <f>IFERROR(VLOOKUP(B250,Customers!A:B,2,FALSE),"")</f>
        <v/>
      </c>
      <c r="N250" s="5">
        <f>IF(K250="","",K250-IFERROR(L250,0)-IFERROR(M250,0))</f>
        <v/>
      </c>
    </row>
    <row r="251">
      <c r="A251" s="5">
        <f>IF(B251="","","ORD-"&amp;TEXT(ROW()-1,"0000"))</f>
        <v/>
      </c>
      <c r="C251" s="5">
        <f>IFERROR(VLOOKUP(B251,Customers!A:B,2,FALSE),"")</f>
        <v/>
      </c>
      <c r="N251" s="5">
        <f>IF(K251="","",K251-IFERROR(L251,0)-IFERROR(M251,0))</f>
        <v/>
      </c>
    </row>
    <row r="252">
      <c r="A252" s="5">
        <f>IF(B252="","","ORD-"&amp;TEXT(ROW()-1,"0000"))</f>
        <v/>
      </c>
      <c r="C252" s="5">
        <f>IFERROR(VLOOKUP(B252,Customers!A:B,2,FALSE),"")</f>
        <v/>
      </c>
      <c r="N252" s="5">
        <f>IF(K252="","",K252-IFERROR(L252,0)-IFERROR(M252,0))</f>
        <v/>
      </c>
    </row>
    <row r="253">
      <c r="A253" s="5">
        <f>IF(B253="","","ORD-"&amp;TEXT(ROW()-1,"0000"))</f>
        <v/>
      </c>
      <c r="C253" s="5">
        <f>IFERROR(VLOOKUP(B253,Customers!A:B,2,FALSE),"")</f>
        <v/>
      </c>
      <c r="N253" s="5">
        <f>IF(K253="","",K253-IFERROR(L253,0)-IFERROR(M253,0))</f>
        <v/>
      </c>
    </row>
    <row r="254">
      <c r="A254" s="5">
        <f>IF(B254="","","ORD-"&amp;TEXT(ROW()-1,"0000"))</f>
        <v/>
      </c>
      <c r="C254" s="5">
        <f>IFERROR(VLOOKUP(B254,Customers!A:B,2,FALSE),"")</f>
        <v/>
      </c>
      <c r="N254" s="5">
        <f>IF(K254="","",K254-IFERROR(L254,0)-IFERROR(M254,0))</f>
        <v/>
      </c>
    </row>
    <row r="255">
      <c r="A255" s="5">
        <f>IF(B255="","","ORD-"&amp;TEXT(ROW()-1,"0000"))</f>
        <v/>
      </c>
      <c r="C255" s="5">
        <f>IFERROR(VLOOKUP(B255,Customers!A:B,2,FALSE),"")</f>
        <v/>
      </c>
      <c r="N255" s="5">
        <f>IF(K255="","",K255-IFERROR(L255,0)-IFERROR(M255,0))</f>
        <v/>
      </c>
    </row>
    <row r="256">
      <c r="A256" s="5">
        <f>IF(B256="","","ORD-"&amp;TEXT(ROW()-1,"0000"))</f>
        <v/>
      </c>
      <c r="C256" s="5">
        <f>IFERROR(VLOOKUP(B256,Customers!A:B,2,FALSE),"")</f>
        <v/>
      </c>
      <c r="N256" s="5">
        <f>IF(K256="","",K256-IFERROR(L256,0)-IFERROR(M256,0))</f>
        <v/>
      </c>
    </row>
    <row r="257">
      <c r="A257" s="5">
        <f>IF(B257="","","ORD-"&amp;TEXT(ROW()-1,"0000"))</f>
        <v/>
      </c>
      <c r="C257" s="5">
        <f>IFERROR(VLOOKUP(B257,Customers!A:B,2,FALSE),"")</f>
        <v/>
      </c>
      <c r="N257" s="5">
        <f>IF(K257="","",K257-IFERROR(L257,0)-IFERROR(M257,0))</f>
        <v/>
      </c>
    </row>
    <row r="258">
      <c r="A258" s="5">
        <f>IF(B258="","","ORD-"&amp;TEXT(ROW()-1,"0000"))</f>
        <v/>
      </c>
      <c r="C258" s="5">
        <f>IFERROR(VLOOKUP(B258,Customers!A:B,2,FALSE),"")</f>
        <v/>
      </c>
      <c r="N258" s="5">
        <f>IF(K258="","",K258-IFERROR(L258,0)-IFERROR(M258,0))</f>
        <v/>
      </c>
    </row>
    <row r="259">
      <c r="A259" s="5">
        <f>IF(B259="","","ORD-"&amp;TEXT(ROW()-1,"0000"))</f>
        <v/>
      </c>
      <c r="C259" s="5">
        <f>IFERROR(VLOOKUP(B259,Customers!A:B,2,FALSE),"")</f>
        <v/>
      </c>
      <c r="N259" s="5">
        <f>IF(K259="","",K259-IFERROR(L259,0)-IFERROR(M259,0))</f>
        <v/>
      </c>
    </row>
    <row r="260">
      <c r="A260" s="5">
        <f>IF(B260="","","ORD-"&amp;TEXT(ROW()-1,"0000"))</f>
        <v/>
      </c>
      <c r="C260" s="5">
        <f>IFERROR(VLOOKUP(B260,Customers!A:B,2,FALSE),"")</f>
        <v/>
      </c>
      <c r="N260" s="5">
        <f>IF(K260="","",K260-IFERROR(L260,0)-IFERROR(M260,0))</f>
        <v/>
      </c>
    </row>
    <row r="261">
      <c r="A261" s="5">
        <f>IF(B261="","","ORD-"&amp;TEXT(ROW()-1,"0000"))</f>
        <v/>
      </c>
      <c r="C261" s="5">
        <f>IFERROR(VLOOKUP(B261,Customers!A:B,2,FALSE),"")</f>
        <v/>
      </c>
      <c r="N261" s="5">
        <f>IF(K261="","",K261-IFERROR(L261,0)-IFERROR(M261,0))</f>
        <v/>
      </c>
    </row>
    <row r="262">
      <c r="A262" s="5">
        <f>IF(B262="","","ORD-"&amp;TEXT(ROW()-1,"0000"))</f>
        <v/>
      </c>
      <c r="C262" s="5">
        <f>IFERROR(VLOOKUP(B262,Customers!A:B,2,FALSE),"")</f>
        <v/>
      </c>
      <c r="N262" s="5">
        <f>IF(K262="","",K262-IFERROR(L262,0)-IFERROR(M262,0))</f>
        <v/>
      </c>
    </row>
    <row r="263">
      <c r="A263" s="5">
        <f>IF(B263="","","ORD-"&amp;TEXT(ROW()-1,"0000"))</f>
        <v/>
      </c>
      <c r="C263" s="5">
        <f>IFERROR(VLOOKUP(B263,Customers!A:B,2,FALSE),"")</f>
        <v/>
      </c>
      <c r="N263" s="5">
        <f>IF(K263="","",K263-IFERROR(L263,0)-IFERROR(M263,0))</f>
        <v/>
      </c>
    </row>
    <row r="264">
      <c r="A264" s="5">
        <f>IF(B264="","","ORD-"&amp;TEXT(ROW()-1,"0000"))</f>
        <v/>
      </c>
      <c r="C264" s="5">
        <f>IFERROR(VLOOKUP(B264,Customers!A:B,2,FALSE),"")</f>
        <v/>
      </c>
      <c r="N264" s="5">
        <f>IF(K264="","",K264-IFERROR(L264,0)-IFERROR(M264,0))</f>
        <v/>
      </c>
    </row>
    <row r="265">
      <c r="A265" s="5">
        <f>IF(B265="","","ORD-"&amp;TEXT(ROW()-1,"0000"))</f>
        <v/>
      </c>
      <c r="C265" s="5">
        <f>IFERROR(VLOOKUP(B265,Customers!A:B,2,FALSE),"")</f>
        <v/>
      </c>
      <c r="N265" s="5">
        <f>IF(K265="","",K265-IFERROR(L265,0)-IFERROR(M265,0))</f>
        <v/>
      </c>
    </row>
    <row r="266">
      <c r="A266" s="5">
        <f>IF(B266="","","ORD-"&amp;TEXT(ROW()-1,"0000"))</f>
        <v/>
      </c>
      <c r="C266" s="5">
        <f>IFERROR(VLOOKUP(B266,Customers!A:B,2,FALSE),"")</f>
        <v/>
      </c>
      <c r="N266" s="5">
        <f>IF(K266="","",K266-IFERROR(L266,0)-IFERROR(M266,0))</f>
        <v/>
      </c>
    </row>
    <row r="267">
      <c r="A267" s="5">
        <f>IF(B267="","","ORD-"&amp;TEXT(ROW()-1,"0000"))</f>
        <v/>
      </c>
      <c r="C267" s="5">
        <f>IFERROR(VLOOKUP(B267,Customers!A:B,2,FALSE),"")</f>
        <v/>
      </c>
      <c r="N267" s="5">
        <f>IF(K267="","",K267-IFERROR(L267,0)-IFERROR(M267,0))</f>
        <v/>
      </c>
    </row>
    <row r="268">
      <c r="A268" s="5">
        <f>IF(B268="","","ORD-"&amp;TEXT(ROW()-1,"0000"))</f>
        <v/>
      </c>
      <c r="C268" s="5">
        <f>IFERROR(VLOOKUP(B268,Customers!A:B,2,FALSE),"")</f>
        <v/>
      </c>
      <c r="N268" s="5">
        <f>IF(K268="","",K268-IFERROR(L268,0)-IFERROR(M268,0))</f>
        <v/>
      </c>
    </row>
    <row r="269">
      <c r="A269" s="5">
        <f>IF(B269="","","ORD-"&amp;TEXT(ROW()-1,"0000"))</f>
        <v/>
      </c>
      <c r="C269" s="5">
        <f>IFERROR(VLOOKUP(B269,Customers!A:B,2,FALSE),"")</f>
        <v/>
      </c>
      <c r="N269" s="5">
        <f>IF(K269="","",K269-IFERROR(L269,0)-IFERROR(M269,0))</f>
        <v/>
      </c>
    </row>
    <row r="270">
      <c r="A270" s="5">
        <f>IF(B270="","","ORD-"&amp;TEXT(ROW()-1,"0000"))</f>
        <v/>
      </c>
      <c r="C270" s="5">
        <f>IFERROR(VLOOKUP(B270,Customers!A:B,2,FALSE),"")</f>
        <v/>
      </c>
      <c r="N270" s="5">
        <f>IF(K270="","",K270-IFERROR(L270,0)-IFERROR(M270,0))</f>
        <v/>
      </c>
    </row>
    <row r="271">
      <c r="A271" s="5">
        <f>IF(B271="","","ORD-"&amp;TEXT(ROW()-1,"0000"))</f>
        <v/>
      </c>
      <c r="C271" s="5">
        <f>IFERROR(VLOOKUP(B271,Customers!A:B,2,FALSE),"")</f>
        <v/>
      </c>
      <c r="N271" s="5">
        <f>IF(K271="","",K271-IFERROR(L271,0)-IFERROR(M271,0))</f>
        <v/>
      </c>
    </row>
    <row r="272">
      <c r="A272" s="5">
        <f>IF(B272="","","ORD-"&amp;TEXT(ROW()-1,"0000"))</f>
        <v/>
      </c>
      <c r="C272" s="5">
        <f>IFERROR(VLOOKUP(B272,Customers!A:B,2,FALSE),"")</f>
        <v/>
      </c>
      <c r="N272" s="5">
        <f>IF(K272="","",K272-IFERROR(L272,0)-IFERROR(M272,0))</f>
        <v/>
      </c>
    </row>
    <row r="273">
      <c r="A273" s="5">
        <f>IF(B273="","","ORD-"&amp;TEXT(ROW()-1,"0000"))</f>
        <v/>
      </c>
      <c r="C273" s="5">
        <f>IFERROR(VLOOKUP(B273,Customers!A:B,2,FALSE),"")</f>
        <v/>
      </c>
      <c r="N273" s="5">
        <f>IF(K273="","",K273-IFERROR(L273,0)-IFERROR(M273,0))</f>
        <v/>
      </c>
    </row>
    <row r="274">
      <c r="A274" s="5">
        <f>IF(B274="","","ORD-"&amp;TEXT(ROW()-1,"0000"))</f>
        <v/>
      </c>
      <c r="C274" s="5">
        <f>IFERROR(VLOOKUP(B274,Customers!A:B,2,FALSE),"")</f>
        <v/>
      </c>
      <c r="N274" s="5">
        <f>IF(K274="","",K274-IFERROR(L274,0)-IFERROR(M274,0))</f>
        <v/>
      </c>
    </row>
    <row r="275">
      <c r="A275" s="5">
        <f>IF(B275="","","ORD-"&amp;TEXT(ROW()-1,"0000"))</f>
        <v/>
      </c>
      <c r="C275" s="5">
        <f>IFERROR(VLOOKUP(B275,Customers!A:B,2,FALSE),"")</f>
        <v/>
      </c>
      <c r="N275" s="5">
        <f>IF(K275="","",K275-IFERROR(L275,0)-IFERROR(M275,0))</f>
        <v/>
      </c>
    </row>
    <row r="276">
      <c r="A276" s="5">
        <f>IF(B276="","","ORD-"&amp;TEXT(ROW()-1,"0000"))</f>
        <v/>
      </c>
      <c r="C276" s="5">
        <f>IFERROR(VLOOKUP(B276,Customers!A:B,2,FALSE),"")</f>
        <v/>
      </c>
      <c r="N276" s="5">
        <f>IF(K276="","",K276-IFERROR(L276,0)-IFERROR(M276,0))</f>
        <v/>
      </c>
    </row>
    <row r="277">
      <c r="A277" s="5">
        <f>IF(B277="","","ORD-"&amp;TEXT(ROW()-1,"0000"))</f>
        <v/>
      </c>
      <c r="C277" s="5">
        <f>IFERROR(VLOOKUP(B277,Customers!A:B,2,FALSE),"")</f>
        <v/>
      </c>
      <c r="N277" s="5">
        <f>IF(K277="","",K277-IFERROR(L277,0)-IFERROR(M277,0))</f>
        <v/>
      </c>
    </row>
    <row r="278">
      <c r="A278" s="5">
        <f>IF(B278="","","ORD-"&amp;TEXT(ROW()-1,"0000"))</f>
        <v/>
      </c>
      <c r="C278" s="5">
        <f>IFERROR(VLOOKUP(B278,Customers!A:B,2,FALSE),"")</f>
        <v/>
      </c>
      <c r="N278" s="5">
        <f>IF(K278="","",K278-IFERROR(L278,0)-IFERROR(M278,0))</f>
        <v/>
      </c>
    </row>
    <row r="279">
      <c r="A279" s="5">
        <f>IF(B279="","","ORD-"&amp;TEXT(ROW()-1,"0000"))</f>
        <v/>
      </c>
      <c r="C279" s="5">
        <f>IFERROR(VLOOKUP(B279,Customers!A:B,2,FALSE),"")</f>
        <v/>
      </c>
      <c r="N279" s="5">
        <f>IF(K279="","",K279-IFERROR(L279,0)-IFERROR(M279,0))</f>
        <v/>
      </c>
    </row>
    <row r="280">
      <c r="A280" s="5">
        <f>IF(B280="","","ORD-"&amp;TEXT(ROW()-1,"0000"))</f>
        <v/>
      </c>
      <c r="C280" s="5">
        <f>IFERROR(VLOOKUP(B280,Customers!A:B,2,FALSE),"")</f>
        <v/>
      </c>
      <c r="N280" s="5">
        <f>IF(K280="","",K280-IFERROR(L280,0)-IFERROR(M280,0))</f>
        <v/>
      </c>
    </row>
    <row r="281">
      <c r="A281" s="5">
        <f>IF(B281="","","ORD-"&amp;TEXT(ROW()-1,"0000"))</f>
        <v/>
      </c>
      <c r="C281" s="5">
        <f>IFERROR(VLOOKUP(B281,Customers!A:B,2,FALSE),"")</f>
        <v/>
      </c>
      <c r="N281" s="5">
        <f>IF(K281="","",K281-IFERROR(L281,0)-IFERROR(M281,0))</f>
        <v/>
      </c>
    </row>
    <row r="282">
      <c r="A282" s="5">
        <f>IF(B282="","","ORD-"&amp;TEXT(ROW()-1,"0000"))</f>
        <v/>
      </c>
      <c r="C282" s="5">
        <f>IFERROR(VLOOKUP(B282,Customers!A:B,2,FALSE),"")</f>
        <v/>
      </c>
      <c r="N282" s="5">
        <f>IF(K282="","",K282-IFERROR(L282,0)-IFERROR(M282,0))</f>
        <v/>
      </c>
    </row>
    <row r="283">
      <c r="A283" s="5">
        <f>IF(B283="","","ORD-"&amp;TEXT(ROW()-1,"0000"))</f>
        <v/>
      </c>
      <c r="C283" s="5">
        <f>IFERROR(VLOOKUP(B283,Customers!A:B,2,FALSE),"")</f>
        <v/>
      </c>
      <c r="N283" s="5">
        <f>IF(K283="","",K283-IFERROR(L283,0)-IFERROR(M283,0))</f>
        <v/>
      </c>
    </row>
    <row r="284">
      <c r="A284" s="5">
        <f>IF(B284="","","ORD-"&amp;TEXT(ROW()-1,"0000"))</f>
        <v/>
      </c>
      <c r="C284" s="5">
        <f>IFERROR(VLOOKUP(B284,Customers!A:B,2,FALSE),"")</f>
        <v/>
      </c>
      <c r="N284" s="5">
        <f>IF(K284="","",K284-IFERROR(L284,0)-IFERROR(M284,0))</f>
        <v/>
      </c>
    </row>
    <row r="285">
      <c r="A285" s="5">
        <f>IF(B285="","","ORD-"&amp;TEXT(ROW()-1,"0000"))</f>
        <v/>
      </c>
      <c r="C285" s="5">
        <f>IFERROR(VLOOKUP(B285,Customers!A:B,2,FALSE),"")</f>
        <v/>
      </c>
      <c r="N285" s="5">
        <f>IF(K285="","",K285-IFERROR(L285,0)-IFERROR(M285,0))</f>
        <v/>
      </c>
    </row>
    <row r="286">
      <c r="A286" s="5">
        <f>IF(B286="","","ORD-"&amp;TEXT(ROW()-1,"0000"))</f>
        <v/>
      </c>
      <c r="C286" s="5">
        <f>IFERROR(VLOOKUP(B286,Customers!A:B,2,FALSE),"")</f>
        <v/>
      </c>
      <c r="N286" s="5">
        <f>IF(K286="","",K286-IFERROR(L286,0)-IFERROR(M286,0))</f>
        <v/>
      </c>
    </row>
    <row r="287">
      <c r="A287" s="5">
        <f>IF(B287="","","ORD-"&amp;TEXT(ROW()-1,"0000"))</f>
        <v/>
      </c>
      <c r="C287" s="5">
        <f>IFERROR(VLOOKUP(B287,Customers!A:B,2,FALSE),"")</f>
        <v/>
      </c>
      <c r="N287" s="5">
        <f>IF(K287="","",K287-IFERROR(L287,0)-IFERROR(M287,0))</f>
        <v/>
      </c>
    </row>
    <row r="288">
      <c r="A288" s="5">
        <f>IF(B288="","","ORD-"&amp;TEXT(ROW()-1,"0000"))</f>
        <v/>
      </c>
      <c r="C288" s="5">
        <f>IFERROR(VLOOKUP(B288,Customers!A:B,2,FALSE),"")</f>
        <v/>
      </c>
      <c r="N288" s="5">
        <f>IF(K288="","",K288-IFERROR(L288,0)-IFERROR(M288,0))</f>
        <v/>
      </c>
    </row>
    <row r="289">
      <c r="A289" s="5">
        <f>IF(B289="","","ORD-"&amp;TEXT(ROW()-1,"0000"))</f>
        <v/>
      </c>
      <c r="C289" s="5">
        <f>IFERROR(VLOOKUP(B289,Customers!A:B,2,FALSE),"")</f>
        <v/>
      </c>
      <c r="N289" s="5">
        <f>IF(K289="","",K289-IFERROR(L289,0)-IFERROR(M289,0))</f>
        <v/>
      </c>
    </row>
    <row r="290">
      <c r="A290" s="5">
        <f>IF(B290="","","ORD-"&amp;TEXT(ROW()-1,"0000"))</f>
        <v/>
      </c>
      <c r="C290" s="5">
        <f>IFERROR(VLOOKUP(B290,Customers!A:B,2,FALSE),"")</f>
        <v/>
      </c>
      <c r="N290" s="5">
        <f>IF(K290="","",K290-IFERROR(L290,0)-IFERROR(M290,0))</f>
        <v/>
      </c>
    </row>
    <row r="291">
      <c r="A291" s="5">
        <f>IF(B291="","","ORD-"&amp;TEXT(ROW()-1,"0000"))</f>
        <v/>
      </c>
      <c r="C291" s="5">
        <f>IFERROR(VLOOKUP(B291,Customers!A:B,2,FALSE),"")</f>
        <v/>
      </c>
      <c r="N291" s="5">
        <f>IF(K291="","",K291-IFERROR(L291,0)-IFERROR(M291,0))</f>
        <v/>
      </c>
    </row>
    <row r="292">
      <c r="A292" s="5">
        <f>IF(B292="","","ORD-"&amp;TEXT(ROW()-1,"0000"))</f>
        <v/>
      </c>
      <c r="C292" s="5">
        <f>IFERROR(VLOOKUP(B292,Customers!A:B,2,FALSE),"")</f>
        <v/>
      </c>
      <c r="N292" s="5">
        <f>IF(K292="","",K292-IFERROR(L292,0)-IFERROR(M292,0))</f>
        <v/>
      </c>
    </row>
    <row r="293">
      <c r="A293" s="5">
        <f>IF(B293="","","ORD-"&amp;TEXT(ROW()-1,"0000"))</f>
        <v/>
      </c>
      <c r="C293" s="5">
        <f>IFERROR(VLOOKUP(B293,Customers!A:B,2,FALSE),"")</f>
        <v/>
      </c>
      <c r="N293" s="5">
        <f>IF(K293="","",K293-IFERROR(L293,0)-IFERROR(M293,0))</f>
        <v/>
      </c>
    </row>
    <row r="294">
      <c r="A294" s="5">
        <f>IF(B294="","","ORD-"&amp;TEXT(ROW()-1,"0000"))</f>
        <v/>
      </c>
      <c r="C294" s="5">
        <f>IFERROR(VLOOKUP(B294,Customers!A:B,2,FALSE),"")</f>
        <v/>
      </c>
      <c r="N294" s="5">
        <f>IF(K294="","",K294-IFERROR(L294,0)-IFERROR(M294,0))</f>
        <v/>
      </c>
    </row>
    <row r="295">
      <c r="A295" s="5">
        <f>IF(B295="","","ORD-"&amp;TEXT(ROW()-1,"0000"))</f>
        <v/>
      </c>
      <c r="C295" s="5">
        <f>IFERROR(VLOOKUP(B295,Customers!A:B,2,FALSE),"")</f>
        <v/>
      </c>
      <c r="N295" s="5">
        <f>IF(K295="","",K295-IFERROR(L295,0)-IFERROR(M295,0))</f>
        <v/>
      </c>
    </row>
    <row r="296">
      <c r="A296" s="5">
        <f>IF(B296="","","ORD-"&amp;TEXT(ROW()-1,"0000"))</f>
        <v/>
      </c>
      <c r="C296" s="5">
        <f>IFERROR(VLOOKUP(B296,Customers!A:B,2,FALSE),"")</f>
        <v/>
      </c>
      <c r="N296" s="5">
        <f>IF(K296="","",K296-IFERROR(L296,0)-IFERROR(M296,0))</f>
        <v/>
      </c>
    </row>
    <row r="297">
      <c r="A297" s="5">
        <f>IF(B297="","","ORD-"&amp;TEXT(ROW()-1,"0000"))</f>
        <v/>
      </c>
      <c r="C297" s="5">
        <f>IFERROR(VLOOKUP(B297,Customers!A:B,2,FALSE),"")</f>
        <v/>
      </c>
      <c r="N297" s="5">
        <f>IF(K297="","",K297-IFERROR(L297,0)-IFERROR(M297,0))</f>
        <v/>
      </c>
    </row>
    <row r="298">
      <c r="A298" s="5">
        <f>IF(B298="","","ORD-"&amp;TEXT(ROW()-1,"0000"))</f>
        <v/>
      </c>
      <c r="C298" s="5">
        <f>IFERROR(VLOOKUP(B298,Customers!A:B,2,FALSE),"")</f>
        <v/>
      </c>
      <c r="N298" s="5">
        <f>IF(K298="","",K298-IFERROR(L298,0)-IFERROR(M298,0))</f>
        <v/>
      </c>
    </row>
    <row r="299">
      <c r="A299" s="5">
        <f>IF(B299="","","ORD-"&amp;TEXT(ROW()-1,"0000"))</f>
        <v/>
      </c>
      <c r="C299" s="5">
        <f>IFERROR(VLOOKUP(B299,Customers!A:B,2,FALSE),"")</f>
        <v/>
      </c>
      <c r="N299" s="5">
        <f>IF(K299="","",K299-IFERROR(L299,0)-IFERROR(M299,0))</f>
        <v/>
      </c>
    </row>
    <row r="300">
      <c r="A300" s="5">
        <f>IF(B300="","","ORD-"&amp;TEXT(ROW()-1,"0000"))</f>
        <v/>
      </c>
      <c r="C300" s="5">
        <f>IFERROR(VLOOKUP(B300,Customers!A:B,2,FALSE),"")</f>
        <v/>
      </c>
      <c r="N300" s="5">
        <f>IF(K300="","",K300-IFERROR(L300,0)-IFERROR(M300,0))</f>
        <v/>
      </c>
    </row>
    <row r="301">
      <c r="A301" s="5">
        <f>IF(B301="","","ORD-"&amp;TEXT(ROW()-1,"0000"))</f>
        <v/>
      </c>
      <c r="C301" s="5">
        <f>IFERROR(VLOOKUP(B301,Customers!A:B,2,FALSE),"")</f>
        <v/>
      </c>
      <c r="N301" s="5">
        <f>IF(K301="","",K301-IFERROR(L301,0)-IFERROR(M301,0))</f>
        <v/>
      </c>
    </row>
    <row r="302">
      <c r="A302" s="5">
        <f>IF(B302="","","ORD-"&amp;TEXT(ROW()-1,"0000"))</f>
        <v/>
      </c>
      <c r="C302" s="5">
        <f>IFERROR(VLOOKUP(B302,Customers!A:B,2,FALSE),"")</f>
        <v/>
      </c>
      <c r="N302" s="5">
        <f>IF(K302="","",K302-IFERROR(L302,0)-IFERROR(M302,0))</f>
        <v/>
      </c>
    </row>
    <row r="303">
      <c r="A303" s="5">
        <f>IF(B303="","","ORD-"&amp;TEXT(ROW()-1,"0000"))</f>
        <v/>
      </c>
      <c r="C303" s="5">
        <f>IFERROR(VLOOKUP(B303,Customers!A:B,2,FALSE),"")</f>
        <v/>
      </c>
      <c r="N303" s="5">
        <f>IF(K303="","",K303-IFERROR(L303,0)-IFERROR(M303,0))</f>
        <v/>
      </c>
    </row>
    <row r="304">
      <c r="A304" s="5">
        <f>IF(B304="","","ORD-"&amp;TEXT(ROW()-1,"0000"))</f>
        <v/>
      </c>
      <c r="C304" s="5">
        <f>IFERROR(VLOOKUP(B304,Customers!A:B,2,FALSE),"")</f>
        <v/>
      </c>
      <c r="N304" s="5">
        <f>IF(K304="","",K304-IFERROR(L304,0)-IFERROR(M304,0))</f>
        <v/>
      </c>
    </row>
    <row r="305">
      <c r="A305" s="5">
        <f>IF(B305="","","ORD-"&amp;TEXT(ROW()-1,"0000"))</f>
        <v/>
      </c>
      <c r="C305" s="5">
        <f>IFERROR(VLOOKUP(B305,Customers!A:B,2,FALSE),"")</f>
        <v/>
      </c>
      <c r="N305" s="5">
        <f>IF(K305="","",K305-IFERROR(L305,0)-IFERROR(M305,0))</f>
        <v/>
      </c>
    </row>
    <row r="306">
      <c r="A306" s="5">
        <f>IF(B306="","","ORD-"&amp;TEXT(ROW()-1,"0000"))</f>
        <v/>
      </c>
      <c r="C306" s="5">
        <f>IFERROR(VLOOKUP(B306,Customers!A:B,2,FALSE),"")</f>
        <v/>
      </c>
      <c r="N306" s="5">
        <f>IF(K306="","",K306-IFERROR(L306,0)-IFERROR(M306,0))</f>
        <v/>
      </c>
    </row>
    <row r="307">
      <c r="A307" s="5">
        <f>IF(B307="","","ORD-"&amp;TEXT(ROW()-1,"0000"))</f>
        <v/>
      </c>
      <c r="C307" s="5">
        <f>IFERROR(VLOOKUP(B307,Customers!A:B,2,FALSE),"")</f>
        <v/>
      </c>
      <c r="N307" s="5">
        <f>IF(K307="","",K307-IFERROR(L307,0)-IFERROR(M307,0))</f>
        <v/>
      </c>
    </row>
    <row r="308">
      <c r="A308" s="5">
        <f>IF(B308="","","ORD-"&amp;TEXT(ROW()-1,"0000"))</f>
        <v/>
      </c>
      <c r="C308" s="5">
        <f>IFERROR(VLOOKUP(B308,Customers!A:B,2,FALSE),"")</f>
        <v/>
      </c>
      <c r="N308" s="5">
        <f>IF(K308="","",K308-IFERROR(L308,0)-IFERROR(M308,0))</f>
        <v/>
      </c>
    </row>
    <row r="309">
      <c r="A309" s="5">
        <f>IF(B309="","","ORD-"&amp;TEXT(ROW()-1,"0000"))</f>
        <v/>
      </c>
      <c r="C309" s="5">
        <f>IFERROR(VLOOKUP(B309,Customers!A:B,2,FALSE),"")</f>
        <v/>
      </c>
      <c r="N309" s="5">
        <f>IF(K309="","",K309-IFERROR(L309,0)-IFERROR(M309,0))</f>
        <v/>
      </c>
    </row>
    <row r="310">
      <c r="A310" s="5">
        <f>IF(B310="","","ORD-"&amp;TEXT(ROW()-1,"0000"))</f>
        <v/>
      </c>
      <c r="C310" s="5">
        <f>IFERROR(VLOOKUP(B310,Customers!A:B,2,FALSE),"")</f>
        <v/>
      </c>
      <c r="N310" s="5">
        <f>IF(K310="","",K310-IFERROR(L310,0)-IFERROR(M310,0))</f>
        <v/>
      </c>
    </row>
    <row r="311">
      <c r="A311" s="5">
        <f>IF(B311="","","ORD-"&amp;TEXT(ROW()-1,"0000"))</f>
        <v/>
      </c>
      <c r="C311" s="5">
        <f>IFERROR(VLOOKUP(B311,Customers!A:B,2,FALSE),"")</f>
        <v/>
      </c>
      <c r="N311" s="5">
        <f>IF(K311="","",K311-IFERROR(L311,0)-IFERROR(M311,0))</f>
        <v/>
      </c>
    </row>
    <row r="312">
      <c r="A312" s="5">
        <f>IF(B312="","","ORD-"&amp;TEXT(ROW()-1,"0000"))</f>
        <v/>
      </c>
      <c r="C312" s="5">
        <f>IFERROR(VLOOKUP(B312,Customers!A:B,2,FALSE),"")</f>
        <v/>
      </c>
      <c r="N312" s="5">
        <f>IF(K312="","",K312-IFERROR(L312,0)-IFERROR(M312,0))</f>
        <v/>
      </c>
    </row>
    <row r="313">
      <c r="A313" s="5">
        <f>IF(B313="","","ORD-"&amp;TEXT(ROW()-1,"0000"))</f>
        <v/>
      </c>
      <c r="C313" s="5">
        <f>IFERROR(VLOOKUP(B313,Customers!A:B,2,FALSE),"")</f>
        <v/>
      </c>
      <c r="N313" s="5">
        <f>IF(K313="","",K313-IFERROR(L313,0)-IFERROR(M313,0))</f>
        <v/>
      </c>
    </row>
    <row r="314">
      <c r="A314" s="5">
        <f>IF(B314="","","ORD-"&amp;TEXT(ROW()-1,"0000"))</f>
        <v/>
      </c>
      <c r="C314" s="5">
        <f>IFERROR(VLOOKUP(B314,Customers!A:B,2,FALSE),"")</f>
        <v/>
      </c>
      <c r="N314" s="5">
        <f>IF(K314="","",K314-IFERROR(L314,0)-IFERROR(M314,0))</f>
        <v/>
      </c>
    </row>
    <row r="315">
      <c r="A315" s="5">
        <f>IF(B315="","","ORD-"&amp;TEXT(ROW()-1,"0000"))</f>
        <v/>
      </c>
      <c r="C315" s="5">
        <f>IFERROR(VLOOKUP(B315,Customers!A:B,2,FALSE),"")</f>
        <v/>
      </c>
      <c r="N315" s="5">
        <f>IF(K315="","",K315-IFERROR(L315,0)-IFERROR(M315,0))</f>
        <v/>
      </c>
    </row>
    <row r="316">
      <c r="A316" s="5">
        <f>IF(B316="","","ORD-"&amp;TEXT(ROW()-1,"0000"))</f>
        <v/>
      </c>
      <c r="C316" s="5">
        <f>IFERROR(VLOOKUP(B316,Customers!A:B,2,FALSE),"")</f>
        <v/>
      </c>
      <c r="N316" s="5">
        <f>IF(K316="","",K316-IFERROR(L316,0)-IFERROR(M316,0))</f>
        <v/>
      </c>
    </row>
    <row r="317">
      <c r="A317" s="5">
        <f>IF(B317="","","ORD-"&amp;TEXT(ROW()-1,"0000"))</f>
        <v/>
      </c>
      <c r="C317" s="5">
        <f>IFERROR(VLOOKUP(B317,Customers!A:B,2,FALSE),"")</f>
        <v/>
      </c>
      <c r="N317" s="5">
        <f>IF(K317="","",K317-IFERROR(L317,0)-IFERROR(M317,0))</f>
        <v/>
      </c>
    </row>
    <row r="318">
      <c r="A318" s="5">
        <f>IF(B318="","","ORD-"&amp;TEXT(ROW()-1,"0000"))</f>
        <v/>
      </c>
      <c r="C318" s="5">
        <f>IFERROR(VLOOKUP(B318,Customers!A:B,2,FALSE),"")</f>
        <v/>
      </c>
      <c r="N318" s="5">
        <f>IF(K318="","",K318-IFERROR(L318,0)-IFERROR(M318,0))</f>
        <v/>
      </c>
    </row>
    <row r="319">
      <c r="A319" s="5">
        <f>IF(B319="","","ORD-"&amp;TEXT(ROW()-1,"0000"))</f>
        <v/>
      </c>
      <c r="C319" s="5">
        <f>IFERROR(VLOOKUP(B319,Customers!A:B,2,FALSE),"")</f>
        <v/>
      </c>
      <c r="N319" s="5">
        <f>IF(K319="","",K319-IFERROR(L319,0)-IFERROR(M319,0))</f>
        <v/>
      </c>
    </row>
    <row r="320">
      <c r="A320" s="5">
        <f>IF(B320="","","ORD-"&amp;TEXT(ROW()-1,"0000"))</f>
        <v/>
      </c>
      <c r="C320" s="5">
        <f>IFERROR(VLOOKUP(B320,Customers!A:B,2,FALSE),"")</f>
        <v/>
      </c>
      <c r="N320" s="5">
        <f>IF(K320="","",K320-IFERROR(L320,0)-IFERROR(M320,0))</f>
        <v/>
      </c>
    </row>
    <row r="321">
      <c r="A321" s="5">
        <f>IF(B321="","","ORD-"&amp;TEXT(ROW()-1,"0000"))</f>
        <v/>
      </c>
      <c r="C321" s="5">
        <f>IFERROR(VLOOKUP(B321,Customers!A:B,2,FALSE),"")</f>
        <v/>
      </c>
      <c r="N321" s="5">
        <f>IF(K321="","",K321-IFERROR(L321,0)-IFERROR(M321,0))</f>
        <v/>
      </c>
    </row>
    <row r="322">
      <c r="A322" s="5">
        <f>IF(B322="","","ORD-"&amp;TEXT(ROW()-1,"0000"))</f>
        <v/>
      </c>
      <c r="C322" s="5">
        <f>IFERROR(VLOOKUP(B322,Customers!A:B,2,FALSE),"")</f>
        <v/>
      </c>
      <c r="N322" s="5">
        <f>IF(K322="","",K322-IFERROR(L322,0)-IFERROR(M322,0))</f>
        <v/>
      </c>
    </row>
    <row r="323">
      <c r="A323" s="5">
        <f>IF(B323="","","ORD-"&amp;TEXT(ROW()-1,"0000"))</f>
        <v/>
      </c>
      <c r="C323" s="5">
        <f>IFERROR(VLOOKUP(B323,Customers!A:B,2,FALSE),"")</f>
        <v/>
      </c>
      <c r="N323" s="5">
        <f>IF(K323="","",K323-IFERROR(L323,0)-IFERROR(M323,0))</f>
        <v/>
      </c>
    </row>
    <row r="324">
      <c r="A324" s="5">
        <f>IF(B324="","","ORD-"&amp;TEXT(ROW()-1,"0000"))</f>
        <v/>
      </c>
      <c r="C324" s="5">
        <f>IFERROR(VLOOKUP(B324,Customers!A:B,2,FALSE),"")</f>
        <v/>
      </c>
      <c r="N324" s="5">
        <f>IF(K324="","",K324-IFERROR(L324,0)-IFERROR(M324,0))</f>
        <v/>
      </c>
    </row>
    <row r="325">
      <c r="A325" s="5">
        <f>IF(B325="","","ORD-"&amp;TEXT(ROW()-1,"0000"))</f>
        <v/>
      </c>
      <c r="C325" s="5">
        <f>IFERROR(VLOOKUP(B325,Customers!A:B,2,FALSE),"")</f>
        <v/>
      </c>
      <c r="N325" s="5">
        <f>IF(K325="","",K325-IFERROR(L325,0)-IFERROR(M325,0))</f>
        <v/>
      </c>
    </row>
    <row r="326">
      <c r="A326" s="5">
        <f>IF(B326="","","ORD-"&amp;TEXT(ROW()-1,"0000"))</f>
        <v/>
      </c>
      <c r="C326" s="5">
        <f>IFERROR(VLOOKUP(B326,Customers!A:B,2,FALSE),"")</f>
        <v/>
      </c>
      <c r="N326" s="5">
        <f>IF(K326="","",K326-IFERROR(L326,0)-IFERROR(M326,0))</f>
        <v/>
      </c>
    </row>
    <row r="327">
      <c r="A327" s="5">
        <f>IF(B327="","","ORD-"&amp;TEXT(ROW()-1,"0000"))</f>
        <v/>
      </c>
      <c r="C327" s="5">
        <f>IFERROR(VLOOKUP(B327,Customers!A:B,2,FALSE),"")</f>
        <v/>
      </c>
      <c r="N327" s="5">
        <f>IF(K327="","",K327-IFERROR(L327,0)-IFERROR(M327,0))</f>
        <v/>
      </c>
    </row>
    <row r="328">
      <c r="A328" s="5">
        <f>IF(B328="","","ORD-"&amp;TEXT(ROW()-1,"0000"))</f>
        <v/>
      </c>
      <c r="C328" s="5">
        <f>IFERROR(VLOOKUP(B328,Customers!A:B,2,FALSE),"")</f>
        <v/>
      </c>
      <c r="N328" s="5">
        <f>IF(K328="","",K328-IFERROR(L328,0)-IFERROR(M328,0))</f>
        <v/>
      </c>
    </row>
    <row r="329">
      <c r="A329" s="5">
        <f>IF(B329="","","ORD-"&amp;TEXT(ROW()-1,"0000"))</f>
        <v/>
      </c>
      <c r="C329" s="5">
        <f>IFERROR(VLOOKUP(B329,Customers!A:B,2,FALSE),"")</f>
        <v/>
      </c>
      <c r="N329" s="5">
        <f>IF(K329="","",K329-IFERROR(L329,0)-IFERROR(M329,0))</f>
        <v/>
      </c>
    </row>
    <row r="330">
      <c r="A330" s="5">
        <f>IF(B330="","","ORD-"&amp;TEXT(ROW()-1,"0000"))</f>
        <v/>
      </c>
      <c r="C330" s="5">
        <f>IFERROR(VLOOKUP(B330,Customers!A:B,2,FALSE),"")</f>
        <v/>
      </c>
      <c r="N330" s="5">
        <f>IF(K330="","",K330-IFERROR(L330,0)-IFERROR(M330,0))</f>
        <v/>
      </c>
    </row>
    <row r="331">
      <c r="A331" s="5">
        <f>IF(B331="","","ORD-"&amp;TEXT(ROW()-1,"0000"))</f>
        <v/>
      </c>
      <c r="C331" s="5">
        <f>IFERROR(VLOOKUP(B331,Customers!A:B,2,FALSE),"")</f>
        <v/>
      </c>
      <c r="N331" s="5">
        <f>IF(K331="","",K331-IFERROR(L331,0)-IFERROR(M331,0))</f>
        <v/>
      </c>
    </row>
    <row r="332">
      <c r="A332" s="5">
        <f>IF(B332="","","ORD-"&amp;TEXT(ROW()-1,"0000"))</f>
        <v/>
      </c>
      <c r="C332" s="5">
        <f>IFERROR(VLOOKUP(B332,Customers!A:B,2,FALSE),"")</f>
        <v/>
      </c>
      <c r="N332" s="5">
        <f>IF(K332="","",K332-IFERROR(L332,0)-IFERROR(M332,0))</f>
        <v/>
      </c>
    </row>
    <row r="333">
      <c r="A333" s="5">
        <f>IF(B333="","","ORD-"&amp;TEXT(ROW()-1,"0000"))</f>
        <v/>
      </c>
      <c r="C333" s="5">
        <f>IFERROR(VLOOKUP(B333,Customers!A:B,2,FALSE),"")</f>
        <v/>
      </c>
      <c r="N333" s="5">
        <f>IF(K333="","",K333-IFERROR(L333,0)-IFERROR(M333,0))</f>
        <v/>
      </c>
    </row>
    <row r="334">
      <c r="A334" s="5">
        <f>IF(B334="","","ORD-"&amp;TEXT(ROW()-1,"0000"))</f>
        <v/>
      </c>
      <c r="C334" s="5">
        <f>IFERROR(VLOOKUP(B334,Customers!A:B,2,FALSE),"")</f>
        <v/>
      </c>
      <c r="N334" s="5">
        <f>IF(K334="","",K334-IFERROR(L334,0)-IFERROR(M334,0))</f>
        <v/>
      </c>
    </row>
    <row r="335">
      <c r="A335" s="5">
        <f>IF(B335="","","ORD-"&amp;TEXT(ROW()-1,"0000"))</f>
        <v/>
      </c>
      <c r="C335" s="5">
        <f>IFERROR(VLOOKUP(B335,Customers!A:B,2,FALSE),"")</f>
        <v/>
      </c>
      <c r="N335" s="5">
        <f>IF(K335="","",K335-IFERROR(L335,0)-IFERROR(M335,0))</f>
        <v/>
      </c>
    </row>
    <row r="336">
      <c r="A336" s="5">
        <f>IF(B336="","","ORD-"&amp;TEXT(ROW()-1,"0000"))</f>
        <v/>
      </c>
      <c r="C336" s="5">
        <f>IFERROR(VLOOKUP(B336,Customers!A:B,2,FALSE),"")</f>
        <v/>
      </c>
      <c r="N336" s="5">
        <f>IF(K336="","",K336-IFERROR(L336,0)-IFERROR(M336,0))</f>
        <v/>
      </c>
    </row>
    <row r="337">
      <c r="A337" s="5">
        <f>IF(B337="","","ORD-"&amp;TEXT(ROW()-1,"0000"))</f>
        <v/>
      </c>
      <c r="C337" s="5">
        <f>IFERROR(VLOOKUP(B337,Customers!A:B,2,FALSE),"")</f>
        <v/>
      </c>
      <c r="N337" s="5">
        <f>IF(K337="","",K337-IFERROR(L337,0)-IFERROR(M337,0))</f>
        <v/>
      </c>
    </row>
    <row r="338">
      <c r="A338" s="5">
        <f>IF(B338="","","ORD-"&amp;TEXT(ROW()-1,"0000"))</f>
        <v/>
      </c>
      <c r="C338" s="5">
        <f>IFERROR(VLOOKUP(B338,Customers!A:B,2,FALSE),"")</f>
        <v/>
      </c>
      <c r="N338" s="5">
        <f>IF(K338="","",K338-IFERROR(L338,0)-IFERROR(M338,0))</f>
        <v/>
      </c>
    </row>
    <row r="339">
      <c r="A339" s="5">
        <f>IF(B339="","","ORD-"&amp;TEXT(ROW()-1,"0000"))</f>
        <v/>
      </c>
      <c r="C339" s="5">
        <f>IFERROR(VLOOKUP(B339,Customers!A:B,2,FALSE),"")</f>
        <v/>
      </c>
      <c r="N339" s="5">
        <f>IF(K339="","",K339-IFERROR(L339,0)-IFERROR(M339,0))</f>
        <v/>
      </c>
    </row>
    <row r="340">
      <c r="A340" s="5">
        <f>IF(B340="","","ORD-"&amp;TEXT(ROW()-1,"0000"))</f>
        <v/>
      </c>
      <c r="C340" s="5">
        <f>IFERROR(VLOOKUP(B340,Customers!A:B,2,FALSE),"")</f>
        <v/>
      </c>
      <c r="N340" s="5">
        <f>IF(K340="","",K340-IFERROR(L340,0)-IFERROR(M340,0))</f>
        <v/>
      </c>
    </row>
    <row r="341">
      <c r="A341" s="5">
        <f>IF(B341="","","ORD-"&amp;TEXT(ROW()-1,"0000"))</f>
        <v/>
      </c>
      <c r="C341" s="5">
        <f>IFERROR(VLOOKUP(B341,Customers!A:B,2,FALSE),"")</f>
        <v/>
      </c>
      <c r="N341" s="5">
        <f>IF(K341="","",K341-IFERROR(L341,0)-IFERROR(M341,0))</f>
        <v/>
      </c>
    </row>
    <row r="342">
      <c r="A342" s="5">
        <f>IF(B342="","","ORD-"&amp;TEXT(ROW()-1,"0000"))</f>
        <v/>
      </c>
      <c r="C342" s="5">
        <f>IFERROR(VLOOKUP(B342,Customers!A:B,2,FALSE),"")</f>
        <v/>
      </c>
      <c r="N342" s="5">
        <f>IF(K342="","",K342-IFERROR(L342,0)-IFERROR(M342,0))</f>
        <v/>
      </c>
    </row>
    <row r="343">
      <c r="A343" s="5">
        <f>IF(B343="","","ORD-"&amp;TEXT(ROW()-1,"0000"))</f>
        <v/>
      </c>
      <c r="C343" s="5">
        <f>IFERROR(VLOOKUP(B343,Customers!A:B,2,FALSE),"")</f>
        <v/>
      </c>
      <c r="N343" s="5">
        <f>IF(K343="","",K343-IFERROR(L343,0)-IFERROR(M343,0))</f>
        <v/>
      </c>
    </row>
    <row r="344">
      <c r="A344" s="5">
        <f>IF(B344="","","ORD-"&amp;TEXT(ROW()-1,"0000"))</f>
        <v/>
      </c>
      <c r="C344" s="5">
        <f>IFERROR(VLOOKUP(B344,Customers!A:B,2,FALSE),"")</f>
        <v/>
      </c>
      <c r="N344" s="5">
        <f>IF(K344="","",K344-IFERROR(L344,0)-IFERROR(M344,0))</f>
        <v/>
      </c>
    </row>
    <row r="345">
      <c r="A345" s="5">
        <f>IF(B345="","","ORD-"&amp;TEXT(ROW()-1,"0000"))</f>
        <v/>
      </c>
      <c r="C345" s="5">
        <f>IFERROR(VLOOKUP(B345,Customers!A:B,2,FALSE),"")</f>
        <v/>
      </c>
      <c r="N345" s="5">
        <f>IF(K345="","",K345-IFERROR(L345,0)-IFERROR(M345,0))</f>
        <v/>
      </c>
    </row>
    <row r="346">
      <c r="A346" s="5">
        <f>IF(B346="","","ORD-"&amp;TEXT(ROW()-1,"0000"))</f>
        <v/>
      </c>
      <c r="C346" s="5">
        <f>IFERROR(VLOOKUP(B346,Customers!A:B,2,FALSE),"")</f>
        <v/>
      </c>
      <c r="N346" s="5">
        <f>IF(K346="","",K346-IFERROR(L346,0)-IFERROR(M346,0))</f>
        <v/>
      </c>
    </row>
    <row r="347">
      <c r="A347" s="5">
        <f>IF(B347="","","ORD-"&amp;TEXT(ROW()-1,"0000"))</f>
        <v/>
      </c>
      <c r="C347" s="5">
        <f>IFERROR(VLOOKUP(B347,Customers!A:B,2,FALSE),"")</f>
        <v/>
      </c>
      <c r="N347" s="5">
        <f>IF(K347="","",K347-IFERROR(L347,0)-IFERROR(M347,0))</f>
        <v/>
      </c>
    </row>
    <row r="348">
      <c r="A348" s="5">
        <f>IF(B348="","","ORD-"&amp;TEXT(ROW()-1,"0000"))</f>
        <v/>
      </c>
      <c r="C348" s="5">
        <f>IFERROR(VLOOKUP(B348,Customers!A:B,2,FALSE),"")</f>
        <v/>
      </c>
      <c r="N348" s="5">
        <f>IF(K348="","",K348-IFERROR(L348,0)-IFERROR(M348,0))</f>
        <v/>
      </c>
    </row>
    <row r="349">
      <c r="A349" s="5">
        <f>IF(B349="","","ORD-"&amp;TEXT(ROW()-1,"0000"))</f>
        <v/>
      </c>
      <c r="C349" s="5">
        <f>IFERROR(VLOOKUP(B349,Customers!A:B,2,FALSE),"")</f>
        <v/>
      </c>
      <c r="N349" s="5">
        <f>IF(K349="","",K349-IFERROR(L349,0)-IFERROR(M349,0))</f>
        <v/>
      </c>
    </row>
    <row r="350">
      <c r="A350" s="5">
        <f>IF(B350="","","ORD-"&amp;TEXT(ROW()-1,"0000"))</f>
        <v/>
      </c>
      <c r="C350" s="5">
        <f>IFERROR(VLOOKUP(B350,Customers!A:B,2,FALSE),"")</f>
        <v/>
      </c>
      <c r="N350" s="5">
        <f>IF(K350="","",K350-IFERROR(L350,0)-IFERROR(M350,0))</f>
        <v/>
      </c>
    </row>
    <row r="351">
      <c r="A351" s="5">
        <f>IF(B351="","","ORD-"&amp;TEXT(ROW()-1,"0000"))</f>
        <v/>
      </c>
      <c r="C351" s="5">
        <f>IFERROR(VLOOKUP(B351,Customers!A:B,2,FALSE),"")</f>
        <v/>
      </c>
      <c r="N351" s="5">
        <f>IF(K351="","",K351-IFERROR(L351,0)-IFERROR(M351,0))</f>
        <v/>
      </c>
    </row>
    <row r="352">
      <c r="A352" s="5">
        <f>IF(B352="","","ORD-"&amp;TEXT(ROW()-1,"0000"))</f>
        <v/>
      </c>
      <c r="C352" s="5">
        <f>IFERROR(VLOOKUP(B352,Customers!A:B,2,FALSE),"")</f>
        <v/>
      </c>
      <c r="N352" s="5">
        <f>IF(K352="","",K352-IFERROR(L352,0)-IFERROR(M352,0))</f>
        <v/>
      </c>
    </row>
    <row r="353">
      <c r="A353" s="5">
        <f>IF(B353="","","ORD-"&amp;TEXT(ROW()-1,"0000"))</f>
        <v/>
      </c>
      <c r="C353" s="5">
        <f>IFERROR(VLOOKUP(B353,Customers!A:B,2,FALSE),"")</f>
        <v/>
      </c>
      <c r="N353" s="5">
        <f>IF(K353="","",K353-IFERROR(L353,0)-IFERROR(M353,0))</f>
        <v/>
      </c>
    </row>
    <row r="354">
      <c r="A354" s="5">
        <f>IF(B354="","","ORD-"&amp;TEXT(ROW()-1,"0000"))</f>
        <v/>
      </c>
      <c r="C354" s="5">
        <f>IFERROR(VLOOKUP(B354,Customers!A:B,2,FALSE),"")</f>
        <v/>
      </c>
      <c r="N354" s="5">
        <f>IF(K354="","",K354-IFERROR(L354,0)-IFERROR(M354,0))</f>
        <v/>
      </c>
    </row>
    <row r="355">
      <c r="A355" s="5">
        <f>IF(B355="","","ORD-"&amp;TEXT(ROW()-1,"0000"))</f>
        <v/>
      </c>
      <c r="C355" s="5">
        <f>IFERROR(VLOOKUP(B355,Customers!A:B,2,FALSE),"")</f>
        <v/>
      </c>
      <c r="N355" s="5">
        <f>IF(K355="","",K355-IFERROR(L355,0)-IFERROR(M355,0))</f>
        <v/>
      </c>
    </row>
    <row r="356">
      <c r="A356" s="5">
        <f>IF(B356="","","ORD-"&amp;TEXT(ROW()-1,"0000"))</f>
        <v/>
      </c>
      <c r="C356" s="5">
        <f>IFERROR(VLOOKUP(B356,Customers!A:B,2,FALSE),"")</f>
        <v/>
      </c>
      <c r="N356" s="5">
        <f>IF(K356="","",K356-IFERROR(L356,0)-IFERROR(M356,0))</f>
        <v/>
      </c>
    </row>
    <row r="357">
      <c r="A357" s="5">
        <f>IF(B357="","","ORD-"&amp;TEXT(ROW()-1,"0000"))</f>
        <v/>
      </c>
      <c r="C357" s="5">
        <f>IFERROR(VLOOKUP(B357,Customers!A:B,2,FALSE),"")</f>
        <v/>
      </c>
      <c r="N357" s="5">
        <f>IF(K357="","",K357-IFERROR(L357,0)-IFERROR(M357,0))</f>
        <v/>
      </c>
    </row>
    <row r="358">
      <c r="A358" s="5">
        <f>IF(B358="","","ORD-"&amp;TEXT(ROW()-1,"0000"))</f>
        <v/>
      </c>
      <c r="C358" s="5">
        <f>IFERROR(VLOOKUP(B358,Customers!A:B,2,FALSE),"")</f>
        <v/>
      </c>
      <c r="N358" s="5">
        <f>IF(K358="","",K358-IFERROR(L358,0)-IFERROR(M358,0))</f>
        <v/>
      </c>
    </row>
    <row r="359">
      <c r="A359" s="5">
        <f>IF(B359="","","ORD-"&amp;TEXT(ROW()-1,"0000"))</f>
        <v/>
      </c>
      <c r="C359" s="5">
        <f>IFERROR(VLOOKUP(B359,Customers!A:B,2,FALSE),"")</f>
        <v/>
      </c>
      <c r="N359" s="5">
        <f>IF(K359="","",K359-IFERROR(L359,0)-IFERROR(M359,0))</f>
        <v/>
      </c>
    </row>
    <row r="360">
      <c r="A360" s="5">
        <f>IF(B360="","","ORD-"&amp;TEXT(ROW()-1,"0000"))</f>
        <v/>
      </c>
      <c r="C360" s="5">
        <f>IFERROR(VLOOKUP(B360,Customers!A:B,2,FALSE),"")</f>
        <v/>
      </c>
      <c r="N360" s="5">
        <f>IF(K360="","",K360-IFERROR(L360,0)-IFERROR(M360,0))</f>
        <v/>
      </c>
    </row>
    <row r="361">
      <c r="A361" s="5">
        <f>IF(B361="","","ORD-"&amp;TEXT(ROW()-1,"0000"))</f>
        <v/>
      </c>
      <c r="C361" s="5">
        <f>IFERROR(VLOOKUP(B361,Customers!A:B,2,FALSE),"")</f>
        <v/>
      </c>
      <c r="N361" s="5">
        <f>IF(K361="","",K361-IFERROR(L361,0)-IFERROR(M361,0))</f>
        <v/>
      </c>
    </row>
    <row r="362">
      <c r="A362" s="5">
        <f>IF(B362="","","ORD-"&amp;TEXT(ROW()-1,"0000"))</f>
        <v/>
      </c>
      <c r="C362" s="5">
        <f>IFERROR(VLOOKUP(B362,Customers!A:B,2,FALSE),"")</f>
        <v/>
      </c>
      <c r="N362" s="5">
        <f>IF(K362="","",K362-IFERROR(L362,0)-IFERROR(M362,0))</f>
        <v/>
      </c>
    </row>
    <row r="363">
      <c r="A363" s="5">
        <f>IF(B363="","","ORD-"&amp;TEXT(ROW()-1,"0000"))</f>
        <v/>
      </c>
      <c r="C363" s="5">
        <f>IFERROR(VLOOKUP(B363,Customers!A:B,2,FALSE),"")</f>
        <v/>
      </c>
      <c r="N363" s="5">
        <f>IF(K363="","",K363-IFERROR(L363,0)-IFERROR(M363,0))</f>
        <v/>
      </c>
    </row>
    <row r="364">
      <c r="A364" s="5">
        <f>IF(B364="","","ORD-"&amp;TEXT(ROW()-1,"0000"))</f>
        <v/>
      </c>
      <c r="C364" s="5">
        <f>IFERROR(VLOOKUP(B364,Customers!A:B,2,FALSE),"")</f>
        <v/>
      </c>
      <c r="N364" s="5">
        <f>IF(K364="","",K364-IFERROR(L364,0)-IFERROR(M364,0))</f>
        <v/>
      </c>
    </row>
    <row r="365">
      <c r="A365" s="5">
        <f>IF(B365="","","ORD-"&amp;TEXT(ROW()-1,"0000"))</f>
        <v/>
      </c>
      <c r="C365" s="5">
        <f>IFERROR(VLOOKUP(B365,Customers!A:B,2,FALSE),"")</f>
        <v/>
      </c>
      <c r="N365" s="5">
        <f>IF(K365="","",K365-IFERROR(L365,0)-IFERROR(M365,0))</f>
        <v/>
      </c>
    </row>
    <row r="366">
      <c r="A366" s="5">
        <f>IF(B366="","","ORD-"&amp;TEXT(ROW()-1,"0000"))</f>
        <v/>
      </c>
      <c r="C366" s="5">
        <f>IFERROR(VLOOKUP(B366,Customers!A:B,2,FALSE),"")</f>
        <v/>
      </c>
      <c r="N366" s="5">
        <f>IF(K366="","",K366-IFERROR(L366,0)-IFERROR(M366,0))</f>
        <v/>
      </c>
    </row>
    <row r="367">
      <c r="A367" s="5">
        <f>IF(B367="","","ORD-"&amp;TEXT(ROW()-1,"0000"))</f>
        <v/>
      </c>
      <c r="C367" s="5">
        <f>IFERROR(VLOOKUP(B367,Customers!A:B,2,FALSE),"")</f>
        <v/>
      </c>
      <c r="N367" s="5">
        <f>IF(K367="","",K367-IFERROR(L367,0)-IFERROR(M367,0))</f>
        <v/>
      </c>
    </row>
    <row r="368">
      <c r="A368" s="5">
        <f>IF(B368="","","ORD-"&amp;TEXT(ROW()-1,"0000"))</f>
        <v/>
      </c>
      <c r="C368" s="5">
        <f>IFERROR(VLOOKUP(B368,Customers!A:B,2,FALSE),"")</f>
        <v/>
      </c>
      <c r="N368" s="5">
        <f>IF(K368="","",K368-IFERROR(L368,0)-IFERROR(M368,0))</f>
        <v/>
      </c>
    </row>
    <row r="369">
      <c r="A369" s="5">
        <f>IF(B369="","","ORD-"&amp;TEXT(ROW()-1,"0000"))</f>
        <v/>
      </c>
      <c r="C369" s="5">
        <f>IFERROR(VLOOKUP(B369,Customers!A:B,2,FALSE),"")</f>
        <v/>
      </c>
      <c r="N369" s="5">
        <f>IF(K369="","",K369-IFERROR(L369,0)-IFERROR(M369,0))</f>
        <v/>
      </c>
    </row>
    <row r="370">
      <c r="A370" s="5">
        <f>IF(B370="","","ORD-"&amp;TEXT(ROW()-1,"0000"))</f>
        <v/>
      </c>
      <c r="C370" s="5">
        <f>IFERROR(VLOOKUP(B370,Customers!A:B,2,FALSE),"")</f>
        <v/>
      </c>
      <c r="N370" s="5">
        <f>IF(K370="","",K370-IFERROR(L370,0)-IFERROR(M370,0))</f>
        <v/>
      </c>
    </row>
    <row r="371">
      <c r="A371" s="5">
        <f>IF(B371="","","ORD-"&amp;TEXT(ROW()-1,"0000"))</f>
        <v/>
      </c>
      <c r="C371" s="5">
        <f>IFERROR(VLOOKUP(B371,Customers!A:B,2,FALSE),"")</f>
        <v/>
      </c>
      <c r="N371" s="5">
        <f>IF(K371="","",K371-IFERROR(L371,0)-IFERROR(M371,0))</f>
        <v/>
      </c>
    </row>
    <row r="372">
      <c r="A372" s="5">
        <f>IF(B372="","","ORD-"&amp;TEXT(ROW()-1,"0000"))</f>
        <v/>
      </c>
      <c r="C372" s="5">
        <f>IFERROR(VLOOKUP(B372,Customers!A:B,2,FALSE),"")</f>
        <v/>
      </c>
      <c r="N372" s="5">
        <f>IF(K372="","",K372-IFERROR(L372,0)-IFERROR(M372,0))</f>
        <v/>
      </c>
    </row>
    <row r="373">
      <c r="A373" s="5">
        <f>IF(B373="","","ORD-"&amp;TEXT(ROW()-1,"0000"))</f>
        <v/>
      </c>
      <c r="C373" s="5">
        <f>IFERROR(VLOOKUP(B373,Customers!A:B,2,FALSE),"")</f>
        <v/>
      </c>
      <c r="N373" s="5">
        <f>IF(K373="","",K373-IFERROR(L373,0)-IFERROR(M373,0))</f>
        <v/>
      </c>
    </row>
    <row r="374">
      <c r="A374" s="5">
        <f>IF(B374="","","ORD-"&amp;TEXT(ROW()-1,"0000"))</f>
        <v/>
      </c>
      <c r="C374" s="5">
        <f>IFERROR(VLOOKUP(B374,Customers!A:B,2,FALSE),"")</f>
        <v/>
      </c>
      <c r="N374" s="5">
        <f>IF(K374="","",K374-IFERROR(L374,0)-IFERROR(M374,0))</f>
        <v/>
      </c>
    </row>
    <row r="375">
      <c r="A375" s="5">
        <f>IF(B375="","","ORD-"&amp;TEXT(ROW()-1,"0000"))</f>
        <v/>
      </c>
      <c r="C375" s="5">
        <f>IFERROR(VLOOKUP(B375,Customers!A:B,2,FALSE),"")</f>
        <v/>
      </c>
      <c r="N375" s="5">
        <f>IF(K375="","",K375-IFERROR(L375,0)-IFERROR(M375,0))</f>
        <v/>
      </c>
    </row>
    <row r="376">
      <c r="A376" s="5">
        <f>IF(B376="","","ORD-"&amp;TEXT(ROW()-1,"0000"))</f>
        <v/>
      </c>
      <c r="C376" s="5">
        <f>IFERROR(VLOOKUP(B376,Customers!A:B,2,FALSE),"")</f>
        <v/>
      </c>
      <c r="N376" s="5">
        <f>IF(K376="","",K376-IFERROR(L376,0)-IFERROR(M376,0))</f>
        <v/>
      </c>
    </row>
    <row r="377">
      <c r="A377" s="5">
        <f>IF(B377="","","ORD-"&amp;TEXT(ROW()-1,"0000"))</f>
        <v/>
      </c>
      <c r="C377" s="5">
        <f>IFERROR(VLOOKUP(B377,Customers!A:B,2,FALSE),"")</f>
        <v/>
      </c>
      <c r="N377" s="5">
        <f>IF(K377="","",K377-IFERROR(L377,0)-IFERROR(M377,0))</f>
        <v/>
      </c>
    </row>
    <row r="378">
      <c r="A378" s="5">
        <f>IF(B378="","","ORD-"&amp;TEXT(ROW()-1,"0000"))</f>
        <v/>
      </c>
      <c r="C378" s="5">
        <f>IFERROR(VLOOKUP(B378,Customers!A:B,2,FALSE),"")</f>
        <v/>
      </c>
      <c r="N378" s="5">
        <f>IF(K378="","",K378-IFERROR(L378,0)-IFERROR(M378,0))</f>
        <v/>
      </c>
    </row>
    <row r="379">
      <c r="A379" s="5">
        <f>IF(B379="","","ORD-"&amp;TEXT(ROW()-1,"0000"))</f>
        <v/>
      </c>
      <c r="C379" s="5">
        <f>IFERROR(VLOOKUP(B379,Customers!A:B,2,FALSE),"")</f>
        <v/>
      </c>
      <c r="N379" s="5">
        <f>IF(K379="","",K379-IFERROR(L379,0)-IFERROR(M379,0))</f>
        <v/>
      </c>
    </row>
    <row r="380">
      <c r="A380" s="5">
        <f>IF(B380="","","ORD-"&amp;TEXT(ROW()-1,"0000"))</f>
        <v/>
      </c>
      <c r="C380" s="5">
        <f>IFERROR(VLOOKUP(B380,Customers!A:B,2,FALSE),"")</f>
        <v/>
      </c>
      <c r="N380" s="5">
        <f>IF(K380="","",K380-IFERROR(L380,0)-IFERROR(M380,0))</f>
        <v/>
      </c>
    </row>
    <row r="381">
      <c r="A381" s="5">
        <f>IF(B381="","","ORD-"&amp;TEXT(ROW()-1,"0000"))</f>
        <v/>
      </c>
      <c r="C381" s="5">
        <f>IFERROR(VLOOKUP(B381,Customers!A:B,2,FALSE),"")</f>
        <v/>
      </c>
      <c r="N381" s="5">
        <f>IF(K381="","",K381-IFERROR(L381,0)-IFERROR(M381,0))</f>
        <v/>
      </c>
    </row>
    <row r="382">
      <c r="A382" s="5">
        <f>IF(B382="","","ORD-"&amp;TEXT(ROW()-1,"0000"))</f>
        <v/>
      </c>
      <c r="C382" s="5">
        <f>IFERROR(VLOOKUP(B382,Customers!A:B,2,FALSE),"")</f>
        <v/>
      </c>
      <c r="N382" s="5">
        <f>IF(K382="","",K382-IFERROR(L382,0)-IFERROR(M382,0))</f>
        <v/>
      </c>
    </row>
    <row r="383">
      <c r="A383" s="5">
        <f>IF(B383="","","ORD-"&amp;TEXT(ROW()-1,"0000"))</f>
        <v/>
      </c>
      <c r="C383" s="5">
        <f>IFERROR(VLOOKUP(B383,Customers!A:B,2,FALSE),"")</f>
        <v/>
      </c>
      <c r="N383" s="5">
        <f>IF(K383="","",K383-IFERROR(L383,0)-IFERROR(M383,0))</f>
        <v/>
      </c>
    </row>
    <row r="384">
      <c r="A384" s="5">
        <f>IF(B384="","","ORD-"&amp;TEXT(ROW()-1,"0000"))</f>
        <v/>
      </c>
      <c r="C384" s="5">
        <f>IFERROR(VLOOKUP(B384,Customers!A:B,2,FALSE),"")</f>
        <v/>
      </c>
      <c r="N384" s="5">
        <f>IF(K384="","",K384-IFERROR(L384,0)-IFERROR(M384,0))</f>
        <v/>
      </c>
    </row>
    <row r="385">
      <c r="A385" s="5">
        <f>IF(B385="","","ORD-"&amp;TEXT(ROW()-1,"0000"))</f>
        <v/>
      </c>
      <c r="C385" s="5">
        <f>IFERROR(VLOOKUP(B385,Customers!A:B,2,FALSE),"")</f>
        <v/>
      </c>
      <c r="N385" s="5">
        <f>IF(K385="","",K385-IFERROR(L385,0)-IFERROR(M385,0))</f>
        <v/>
      </c>
    </row>
    <row r="386">
      <c r="A386" s="5">
        <f>IF(B386="","","ORD-"&amp;TEXT(ROW()-1,"0000"))</f>
        <v/>
      </c>
      <c r="C386" s="5">
        <f>IFERROR(VLOOKUP(B386,Customers!A:B,2,FALSE),"")</f>
        <v/>
      </c>
      <c r="N386" s="5">
        <f>IF(K386="","",K386-IFERROR(L386,0)-IFERROR(M386,0))</f>
        <v/>
      </c>
    </row>
    <row r="387">
      <c r="A387" s="5">
        <f>IF(B387="","","ORD-"&amp;TEXT(ROW()-1,"0000"))</f>
        <v/>
      </c>
      <c r="C387" s="5">
        <f>IFERROR(VLOOKUP(B387,Customers!A:B,2,FALSE),"")</f>
        <v/>
      </c>
      <c r="N387" s="5">
        <f>IF(K387="","",K387-IFERROR(L387,0)-IFERROR(M387,0))</f>
        <v/>
      </c>
    </row>
    <row r="388">
      <c r="A388" s="5">
        <f>IF(B388="","","ORD-"&amp;TEXT(ROW()-1,"0000"))</f>
        <v/>
      </c>
      <c r="C388" s="5">
        <f>IFERROR(VLOOKUP(B388,Customers!A:B,2,FALSE),"")</f>
        <v/>
      </c>
      <c r="N388" s="5">
        <f>IF(K388="","",K388-IFERROR(L388,0)-IFERROR(M388,0))</f>
        <v/>
      </c>
    </row>
    <row r="389">
      <c r="A389" s="5">
        <f>IF(B389="","","ORD-"&amp;TEXT(ROW()-1,"0000"))</f>
        <v/>
      </c>
      <c r="C389" s="5">
        <f>IFERROR(VLOOKUP(B389,Customers!A:B,2,FALSE),"")</f>
        <v/>
      </c>
      <c r="N389" s="5">
        <f>IF(K389="","",K389-IFERROR(L389,0)-IFERROR(M389,0))</f>
        <v/>
      </c>
    </row>
    <row r="390">
      <c r="A390" s="5">
        <f>IF(B390="","","ORD-"&amp;TEXT(ROW()-1,"0000"))</f>
        <v/>
      </c>
      <c r="C390" s="5">
        <f>IFERROR(VLOOKUP(B390,Customers!A:B,2,FALSE),"")</f>
        <v/>
      </c>
      <c r="N390" s="5">
        <f>IF(K390="","",K390-IFERROR(L390,0)-IFERROR(M390,0))</f>
        <v/>
      </c>
    </row>
    <row r="391">
      <c r="A391" s="5">
        <f>IF(B391="","","ORD-"&amp;TEXT(ROW()-1,"0000"))</f>
        <v/>
      </c>
      <c r="C391" s="5">
        <f>IFERROR(VLOOKUP(B391,Customers!A:B,2,FALSE),"")</f>
        <v/>
      </c>
      <c r="N391" s="5">
        <f>IF(K391="","",K391-IFERROR(L391,0)-IFERROR(M391,0))</f>
        <v/>
      </c>
    </row>
    <row r="392">
      <c r="A392" s="5">
        <f>IF(B392="","","ORD-"&amp;TEXT(ROW()-1,"0000"))</f>
        <v/>
      </c>
      <c r="C392" s="5">
        <f>IFERROR(VLOOKUP(B392,Customers!A:B,2,FALSE),"")</f>
        <v/>
      </c>
      <c r="N392" s="5">
        <f>IF(K392="","",K392-IFERROR(L392,0)-IFERROR(M392,0))</f>
        <v/>
      </c>
    </row>
    <row r="393">
      <c r="A393" s="5">
        <f>IF(B393="","","ORD-"&amp;TEXT(ROW()-1,"0000"))</f>
        <v/>
      </c>
      <c r="C393" s="5">
        <f>IFERROR(VLOOKUP(B393,Customers!A:B,2,FALSE),"")</f>
        <v/>
      </c>
      <c r="N393" s="5">
        <f>IF(K393="","",K393-IFERROR(L393,0)-IFERROR(M393,0))</f>
        <v/>
      </c>
    </row>
    <row r="394">
      <c r="A394" s="5">
        <f>IF(B394="","","ORD-"&amp;TEXT(ROW()-1,"0000"))</f>
        <v/>
      </c>
      <c r="C394" s="5">
        <f>IFERROR(VLOOKUP(B394,Customers!A:B,2,FALSE),"")</f>
        <v/>
      </c>
      <c r="N394" s="5">
        <f>IF(K394="","",K394-IFERROR(L394,0)-IFERROR(M394,0))</f>
        <v/>
      </c>
    </row>
    <row r="395">
      <c r="A395" s="5">
        <f>IF(B395="","","ORD-"&amp;TEXT(ROW()-1,"0000"))</f>
        <v/>
      </c>
      <c r="C395" s="5">
        <f>IFERROR(VLOOKUP(B395,Customers!A:B,2,FALSE),"")</f>
        <v/>
      </c>
      <c r="N395" s="5">
        <f>IF(K395="","",K395-IFERROR(L395,0)-IFERROR(M395,0))</f>
        <v/>
      </c>
    </row>
    <row r="396">
      <c r="A396" s="5">
        <f>IF(B396="","","ORD-"&amp;TEXT(ROW()-1,"0000"))</f>
        <v/>
      </c>
      <c r="C396" s="5">
        <f>IFERROR(VLOOKUP(B396,Customers!A:B,2,FALSE),"")</f>
        <v/>
      </c>
      <c r="N396" s="5">
        <f>IF(K396="","",K396-IFERROR(L396,0)-IFERROR(M396,0))</f>
        <v/>
      </c>
    </row>
    <row r="397">
      <c r="A397" s="5">
        <f>IF(B397="","","ORD-"&amp;TEXT(ROW()-1,"0000"))</f>
        <v/>
      </c>
      <c r="C397" s="5">
        <f>IFERROR(VLOOKUP(B397,Customers!A:B,2,FALSE),"")</f>
        <v/>
      </c>
      <c r="N397" s="5">
        <f>IF(K397="","",K397-IFERROR(L397,0)-IFERROR(M397,0))</f>
        <v/>
      </c>
    </row>
    <row r="398">
      <c r="A398" s="5">
        <f>IF(B398="","","ORD-"&amp;TEXT(ROW()-1,"0000"))</f>
        <v/>
      </c>
      <c r="C398" s="5">
        <f>IFERROR(VLOOKUP(B398,Customers!A:B,2,FALSE),"")</f>
        <v/>
      </c>
      <c r="N398" s="5">
        <f>IF(K398="","",K398-IFERROR(L398,0)-IFERROR(M398,0))</f>
        <v/>
      </c>
    </row>
    <row r="399">
      <c r="A399" s="5">
        <f>IF(B399="","","ORD-"&amp;TEXT(ROW()-1,"0000"))</f>
        <v/>
      </c>
      <c r="C399" s="5">
        <f>IFERROR(VLOOKUP(B399,Customers!A:B,2,FALSE),"")</f>
        <v/>
      </c>
      <c r="N399" s="5">
        <f>IF(K399="","",K399-IFERROR(L399,0)-IFERROR(M399,0))</f>
        <v/>
      </c>
    </row>
    <row r="400">
      <c r="A400" s="5">
        <f>IF(B400="","","ORD-"&amp;TEXT(ROW()-1,"0000"))</f>
        <v/>
      </c>
      <c r="C400" s="5">
        <f>IFERROR(VLOOKUP(B400,Customers!A:B,2,FALSE),"")</f>
        <v/>
      </c>
      <c r="N400" s="5">
        <f>IF(K400="","",K400-IFERROR(L400,0)-IFERROR(M400,0))</f>
        <v/>
      </c>
    </row>
    <row r="401">
      <c r="A401" s="5">
        <f>IF(B401="","","ORD-"&amp;TEXT(ROW()-1,"0000"))</f>
        <v/>
      </c>
      <c r="C401" s="5">
        <f>IFERROR(VLOOKUP(B401,Customers!A:B,2,FALSE),"")</f>
        <v/>
      </c>
      <c r="N401" s="5">
        <f>IF(K401="","",K401-IFERROR(L401,0)-IFERROR(M401,0))</f>
        <v/>
      </c>
    </row>
    <row r="402">
      <c r="A402" s="5">
        <f>IF(B402="","","ORD-"&amp;TEXT(ROW()-1,"0000"))</f>
        <v/>
      </c>
      <c r="C402" s="5">
        <f>IFERROR(VLOOKUP(B402,Customers!A:B,2,FALSE),"")</f>
        <v/>
      </c>
      <c r="N402" s="5">
        <f>IF(K402="","",K402-IFERROR(L402,0)-IFERROR(M402,0))</f>
        <v/>
      </c>
    </row>
    <row r="403">
      <c r="A403" s="5">
        <f>IF(B403="","","ORD-"&amp;TEXT(ROW()-1,"0000"))</f>
        <v/>
      </c>
      <c r="C403" s="5">
        <f>IFERROR(VLOOKUP(B403,Customers!A:B,2,FALSE),"")</f>
        <v/>
      </c>
      <c r="N403" s="5">
        <f>IF(K403="","",K403-IFERROR(L403,0)-IFERROR(M403,0))</f>
        <v/>
      </c>
    </row>
    <row r="404">
      <c r="A404" s="5">
        <f>IF(B404="","","ORD-"&amp;TEXT(ROW()-1,"0000"))</f>
        <v/>
      </c>
      <c r="C404" s="5">
        <f>IFERROR(VLOOKUP(B404,Customers!A:B,2,FALSE),"")</f>
        <v/>
      </c>
      <c r="N404" s="5">
        <f>IF(K404="","",K404-IFERROR(L404,0)-IFERROR(M404,0))</f>
        <v/>
      </c>
    </row>
    <row r="405">
      <c r="A405" s="5">
        <f>IF(B405="","","ORD-"&amp;TEXT(ROW()-1,"0000"))</f>
        <v/>
      </c>
      <c r="C405" s="5">
        <f>IFERROR(VLOOKUP(B405,Customers!A:B,2,FALSE),"")</f>
        <v/>
      </c>
      <c r="N405" s="5">
        <f>IF(K405="","",K405-IFERROR(L405,0)-IFERROR(M405,0))</f>
        <v/>
      </c>
    </row>
    <row r="406">
      <c r="A406" s="5">
        <f>IF(B406="","","ORD-"&amp;TEXT(ROW()-1,"0000"))</f>
        <v/>
      </c>
      <c r="C406" s="5">
        <f>IFERROR(VLOOKUP(B406,Customers!A:B,2,FALSE),"")</f>
        <v/>
      </c>
      <c r="N406" s="5">
        <f>IF(K406="","",K406-IFERROR(L406,0)-IFERROR(M406,0))</f>
        <v/>
      </c>
    </row>
    <row r="407">
      <c r="A407" s="5">
        <f>IF(B407="","","ORD-"&amp;TEXT(ROW()-1,"0000"))</f>
        <v/>
      </c>
      <c r="C407" s="5">
        <f>IFERROR(VLOOKUP(B407,Customers!A:B,2,FALSE),"")</f>
        <v/>
      </c>
      <c r="N407" s="5">
        <f>IF(K407="","",K407-IFERROR(L407,0)-IFERROR(M407,0))</f>
        <v/>
      </c>
    </row>
    <row r="408">
      <c r="A408" s="5">
        <f>IF(B408="","","ORD-"&amp;TEXT(ROW()-1,"0000"))</f>
        <v/>
      </c>
      <c r="C408" s="5">
        <f>IFERROR(VLOOKUP(B408,Customers!A:B,2,FALSE),"")</f>
        <v/>
      </c>
      <c r="N408" s="5">
        <f>IF(K408="","",K408-IFERROR(L408,0)-IFERROR(M408,0))</f>
        <v/>
      </c>
    </row>
    <row r="409">
      <c r="A409" s="5">
        <f>IF(B409="","","ORD-"&amp;TEXT(ROW()-1,"0000"))</f>
        <v/>
      </c>
      <c r="C409" s="5">
        <f>IFERROR(VLOOKUP(B409,Customers!A:B,2,FALSE),"")</f>
        <v/>
      </c>
      <c r="N409" s="5">
        <f>IF(K409="","",K409-IFERROR(L409,0)-IFERROR(M409,0))</f>
        <v/>
      </c>
    </row>
    <row r="410">
      <c r="A410" s="5">
        <f>IF(B410="","","ORD-"&amp;TEXT(ROW()-1,"0000"))</f>
        <v/>
      </c>
      <c r="C410" s="5">
        <f>IFERROR(VLOOKUP(B410,Customers!A:B,2,FALSE),"")</f>
        <v/>
      </c>
      <c r="N410" s="5">
        <f>IF(K410="","",K410-IFERROR(L410,0)-IFERROR(M410,0))</f>
        <v/>
      </c>
    </row>
    <row r="411">
      <c r="A411" s="5">
        <f>IF(B411="","","ORD-"&amp;TEXT(ROW()-1,"0000"))</f>
        <v/>
      </c>
      <c r="C411" s="5">
        <f>IFERROR(VLOOKUP(B411,Customers!A:B,2,FALSE),"")</f>
        <v/>
      </c>
      <c r="N411" s="5">
        <f>IF(K411="","",K411-IFERROR(L411,0)-IFERROR(M411,0))</f>
        <v/>
      </c>
    </row>
    <row r="412">
      <c r="A412" s="5">
        <f>IF(B412="","","ORD-"&amp;TEXT(ROW()-1,"0000"))</f>
        <v/>
      </c>
      <c r="C412" s="5">
        <f>IFERROR(VLOOKUP(B412,Customers!A:B,2,FALSE),"")</f>
        <v/>
      </c>
      <c r="N412" s="5">
        <f>IF(K412="","",K412-IFERROR(L412,0)-IFERROR(M412,0))</f>
        <v/>
      </c>
    </row>
    <row r="413">
      <c r="A413" s="5">
        <f>IF(B413="","","ORD-"&amp;TEXT(ROW()-1,"0000"))</f>
        <v/>
      </c>
      <c r="C413" s="5">
        <f>IFERROR(VLOOKUP(B413,Customers!A:B,2,FALSE),"")</f>
        <v/>
      </c>
      <c r="N413" s="5">
        <f>IF(K413="","",K413-IFERROR(L413,0)-IFERROR(M413,0))</f>
        <v/>
      </c>
    </row>
    <row r="414">
      <c r="A414" s="5">
        <f>IF(B414="","","ORD-"&amp;TEXT(ROW()-1,"0000"))</f>
        <v/>
      </c>
      <c r="C414" s="5">
        <f>IFERROR(VLOOKUP(B414,Customers!A:B,2,FALSE),"")</f>
        <v/>
      </c>
      <c r="N414" s="5">
        <f>IF(K414="","",K414-IFERROR(L414,0)-IFERROR(M414,0))</f>
        <v/>
      </c>
    </row>
    <row r="415">
      <c r="A415" s="5">
        <f>IF(B415="","","ORD-"&amp;TEXT(ROW()-1,"0000"))</f>
        <v/>
      </c>
      <c r="C415" s="5">
        <f>IFERROR(VLOOKUP(B415,Customers!A:B,2,FALSE),"")</f>
        <v/>
      </c>
      <c r="N415" s="5">
        <f>IF(K415="","",K415-IFERROR(L415,0)-IFERROR(M415,0))</f>
        <v/>
      </c>
    </row>
    <row r="416">
      <c r="A416" s="5">
        <f>IF(B416="","","ORD-"&amp;TEXT(ROW()-1,"0000"))</f>
        <v/>
      </c>
      <c r="C416" s="5">
        <f>IFERROR(VLOOKUP(B416,Customers!A:B,2,FALSE),"")</f>
        <v/>
      </c>
      <c r="N416" s="5">
        <f>IF(K416="","",K416-IFERROR(L416,0)-IFERROR(M416,0))</f>
        <v/>
      </c>
    </row>
    <row r="417">
      <c r="A417" s="5">
        <f>IF(B417="","","ORD-"&amp;TEXT(ROW()-1,"0000"))</f>
        <v/>
      </c>
      <c r="C417" s="5">
        <f>IFERROR(VLOOKUP(B417,Customers!A:B,2,FALSE),"")</f>
        <v/>
      </c>
      <c r="N417" s="5">
        <f>IF(K417="","",K417-IFERROR(L417,0)-IFERROR(M417,0))</f>
        <v/>
      </c>
    </row>
    <row r="418">
      <c r="A418" s="5">
        <f>IF(B418="","","ORD-"&amp;TEXT(ROW()-1,"0000"))</f>
        <v/>
      </c>
      <c r="C418" s="5">
        <f>IFERROR(VLOOKUP(B418,Customers!A:B,2,FALSE),"")</f>
        <v/>
      </c>
      <c r="N418" s="5">
        <f>IF(K418="","",K418-IFERROR(L418,0)-IFERROR(M418,0))</f>
        <v/>
      </c>
    </row>
    <row r="419">
      <c r="A419" s="5">
        <f>IF(B419="","","ORD-"&amp;TEXT(ROW()-1,"0000"))</f>
        <v/>
      </c>
      <c r="C419" s="5">
        <f>IFERROR(VLOOKUP(B419,Customers!A:B,2,FALSE),"")</f>
        <v/>
      </c>
      <c r="N419" s="5">
        <f>IF(K419="","",K419-IFERROR(L419,0)-IFERROR(M419,0))</f>
        <v/>
      </c>
    </row>
    <row r="420">
      <c r="A420" s="5">
        <f>IF(B420="","","ORD-"&amp;TEXT(ROW()-1,"0000"))</f>
        <v/>
      </c>
      <c r="C420" s="5">
        <f>IFERROR(VLOOKUP(B420,Customers!A:B,2,FALSE),"")</f>
        <v/>
      </c>
      <c r="N420" s="5">
        <f>IF(K420="","",K420-IFERROR(L420,0)-IFERROR(M420,0))</f>
        <v/>
      </c>
    </row>
    <row r="421">
      <c r="A421" s="5">
        <f>IF(B421="","","ORD-"&amp;TEXT(ROW()-1,"0000"))</f>
        <v/>
      </c>
      <c r="C421" s="5">
        <f>IFERROR(VLOOKUP(B421,Customers!A:B,2,FALSE),"")</f>
        <v/>
      </c>
      <c r="N421" s="5">
        <f>IF(K421="","",K421-IFERROR(L421,0)-IFERROR(M421,0))</f>
        <v/>
      </c>
    </row>
    <row r="422">
      <c r="A422" s="5">
        <f>IF(B422="","","ORD-"&amp;TEXT(ROW()-1,"0000"))</f>
        <v/>
      </c>
      <c r="C422" s="5">
        <f>IFERROR(VLOOKUP(B422,Customers!A:B,2,FALSE),"")</f>
        <v/>
      </c>
      <c r="N422" s="5">
        <f>IF(K422="","",K422-IFERROR(L422,0)-IFERROR(M422,0))</f>
        <v/>
      </c>
    </row>
    <row r="423">
      <c r="A423" s="5">
        <f>IF(B423="","","ORD-"&amp;TEXT(ROW()-1,"0000"))</f>
        <v/>
      </c>
      <c r="C423" s="5">
        <f>IFERROR(VLOOKUP(B423,Customers!A:B,2,FALSE),"")</f>
        <v/>
      </c>
      <c r="N423" s="5">
        <f>IF(K423="","",K423-IFERROR(L423,0)-IFERROR(M423,0))</f>
        <v/>
      </c>
    </row>
    <row r="424">
      <c r="A424" s="5">
        <f>IF(B424="","","ORD-"&amp;TEXT(ROW()-1,"0000"))</f>
        <v/>
      </c>
      <c r="C424" s="5">
        <f>IFERROR(VLOOKUP(B424,Customers!A:B,2,FALSE),"")</f>
        <v/>
      </c>
      <c r="N424" s="5">
        <f>IF(K424="","",K424-IFERROR(L424,0)-IFERROR(M424,0))</f>
        <v/>
      </c>
    </row>
    <row r="425">
      <c r="A425" s="5">
        <f>IF(B425="","","ORD-"&amp;TEXT(ROW()-1,"0000"))</f>
        <v/>
      </c>
      <c r="C425" s="5">
        <f>IFERROR(VLOOKUP(B425,Customers!A:B,2,FALSE),"")</f>
        <v/>
      </c>
      <c r="N425" s="5">
        <f>IF(K425="","",K425-IFERROR(L425,0)-IFERROR(M425,0))</f>
        <v/>
      </c>
    </row>
    <row r="426">
      <c r="A426" s="5">
        <f>IF(B426="","","ORD-"&amp;TEXT(ROW()-1,"0000"))</f>
        <v/>
      </c>
      <c r="C426" s="5">
        <f>IFERROR(VLOOKUP(B426,Customers!A:B,2,FALSE),"")</f>
        <v/>
      </c>
      <c r="N426" s="5">
        <f>IF(K426="","",K426-IFERROR(L426,0)-IFERROR(M426,0))</f>
        <v/>
      </c>
    </row>
    <row r="427">
      <c r="A427" s="5">
        <f>IF(B427="","","ORD-"&amp;TEXT(ROW()-1,"0000"))</f>
        <v/>
      </c>
      <c r="C427" s="5">
        <f>IFERROR(VLOOKUP(B427,Customers!A:B,2,FALSE),"")</f>
        <v/>
      </c>
      <c r="N427" s="5">
        <f>IF(K427="","",K427-IFERROR(L427,0)-IFERROR(M427,0))</f>
        <v/>
      </c>
    </row>
    <row r="428">
      <c r="A428" s="5">
        <f>IF(B428="","","ORD-"&amp;TEXT(ROW()-1,"0000"))</f>
        <v/>
      </c>
      <c r="C428" s="5">
        <f>IFERROR(VLOOKUP(B428,Customers!A:B,2,FALSE),"")</f>
        <v/>
      </c>
      <c r="N428" s="5">
        <f>IF(K428="","",K428-IFERROR(L428,0)-IFERROR(M428,0))</f>
        <v/>
      </c>
    </row>
    <row r="429">
      <c r="A429" s="5">
        <f>IF(B429="","","ORD-"&amp;TEXT(ROW()-1,"0000"))</f>
        <v/>
      </c>
      <c r="C429" s="5">
        <f>IFERROR(VLOOKUP(B429,Customers!A:B,2,FALSE),"")</f>
        <v/>
      </c>
      <c r="N429" s="5">
        <f>IF(K429="","",K429-IFERROR(L429,0)-IFERROR(M429,0))</f>
        <v/>
      </c>
    </row>
    <row r="430">
      <c r="A430" s="5">
        <f>IF(B430="","","ORD-"&amp;TEXT(ROW()-1,"0000"))</f>
        <v/>
      </c>
      <c r="C430" s="5">
        <f>IFERROR(VLOOKUP(B430,Customers!A:B,2,FALSE),"")</f>
        <v/>
      </c>
      <c r="N430" s="5">
        <f>IF(K430="","",K430-IFERROR(L430,0)-IFERROR(M430,0))</f>
        <v/>
      </c>
    </row>
    <row r="431">
      <c r="A431" s="5">
        <f>IF(B431="","","ORD-"&amp;TEXT(ROW()-1,"0000"))</f>
        <v/>
      </c>
      <c r="C431" s="5">
        <f>IFERROR(VLOOKUP(B431,Customers!A:B,2,FALSE),"")</f>
        <v/>
      </c>
      <c r="N431" s="5">
        <f>IF(K431="","",K431-IFERROR(L431,0)-IFERROR(M431,0))</f>
        <v/>
      </c>
    </row>
    <row r="432">
      <c r="A432" s="5">
        <f>IF(B432="","","ORD-"&amp;TEXT(ROW()-1,"0000"))</f>
        <v/>
      </c>
      <c r="C432" s="5">
        <f>IFERROR(VLOOKUP(B432,Customers!A:B,2,FALSE),"")</f>
        <v/>
      </c>
      <c r="N432" s="5">
        <f>IF(K432="","",K432-IFERROR(L432,0)-IFERROR(M432,0))</f>
        <v/>
      </c>
    </row>
    <row r="433">
      <c r="A433" s="5">
        <f>IF(B433="","","ORD-"&amp;TEXT(ROW()-1,"0000"))</f>
        <v/>
      </c>
      <c r="C433" s="5">
        <f>IFERROR(VLOOKUP(B433,Customers!A:B,2,FALSE),"")</f>
        <v/>
      </c>
      <c r="N433" s="5">
        <f>IF(K433="","",K433-IFERROR(L433,0)-IFERROR(M433,0))</f>
        <v/>
      </c>
    </row>
    <row r="434">
      <c r="A434" s="5">
        <f>IF(B434="","","ORD-"&amp;TEXT(ROW()-1,"0000"))</f>
        <v/>
      </c>
      <c r="C434" s="5">
        <f>IFERROR(VLOOKUP(B434,Customers!A:B,2,FALSE),"")</f>
        <v/>
      </c>
      <c r="N434" s="5">
        <f>IF(K434="","",K434-IFERROR(L434,0)-IFERROR(M434,0))</f>
        <v/>
      </c>
    </row>
    <row r="435">
      <c r="A435" s="5">
        <f>IF(B435="","","ORD-"&amp;TEXT(ROW()-1,"0000"))</f>
        <v/>
      </c>
      <c r="C435" s="5">
        <f>IFERROR(VLOOKUP(B435,Customers!A:B,2,FALSE),"")</f>
        <v/>
      </c>
      <c r="N435" s="5">
        <f>IF(K435="","",K435-IFERROR(L435,0)-IFERROR(M435,0))</f>
        <v/>
      </c>
    </row>
    <row r="436">
      <c r="A436" s="5">
        <f>IF(B436="","","ORD-"&amp;TEXT(ROW()-1,"0000"))</f>
        <v/>
      </c>
      <c r="C436" s="5">
        <f>IFERROR(VLOOKUP(B436,Customers!A:B,2,FALSE),"")</f>
        <v/>
      </c>
      <c r="N436" s="5">
        <f>IF(K436="","",K436-IFERROR(L436,0)-IFERROR(M436,0))</f>
        <v/>
      </c>
    </row>
    <row r="437">
      <c r="A437" s="5">
        <f>IF(B437="","","ORD-"&amp;TEXT(ROW()-1,"0000"))</f>
        <v/>
      </c>
      <c r="C437" s="5">
        <f>IFERROR(VLOOKUP(B437,Customers!A:B,2,FALSE),"")</f>
        <v/>
      </c>
      <c r="N437" s="5">
        <f>IF(K437="","",K437-IFERROR(L437,0)-IFERROR(M437,0))</f>
        <v/>
      </c>
    </row>
    <row r="438">
      <c r="A438" s="5">
        <f>IF(B438="","","ORD-"&amp;TEXT(ROW()-1,"0000"))</f>
        <v/>
      </c>
      <c r="C438" s="5">
        <f>IFERROR(VLOOKUP(B438,Customers!A:B,2,FALSE),"")</f>
        <v/>
      </c>
      <c r="N438" s="5">
        <f>IF(K438="","",K438-IFERROR(L438,0)-IFERROR(M438,0))</f>
        <v/>
      </c>
    </row>
    <row r="439">
      <c r="A439" s="5">
        <f>IF(B439="","","ORD-"&amp;TEXT(ROW()-1,"0000"))</f>
        <v/>
      </c>
      <c r="C439" s="5">
        <f>IFERROR(VLOOKUP(B439,Customers!A:B,2,FALSE),"")</f>
        <v/>
      </c>
      <c r="N439" s="5">
        <f>IF(K439="","",K439-IFERROR(L439,0)-IFERROR(M439,0))</f>
        <v/>
      </c>
    </row>
    <row r="440">
      <c r="A440" s="5">
        <f>IF(B440="","","ORD-"&amp;TEXT(ROW()-1,"0000"))</f>
        <v/>
      </c>
      <c r="C440" s="5">
        <f>IFERROR(VLOOKUP(B440,Customers!A:B,2,FALSE),"")</f>
        <v/>
      </c>
      <c r="N440" s="5">
        <f>IF(K440="","",K440-IFERROR(L440,0)-IFERROR(M440,0))</f>
        <v/>
      </c>
    </row>
    <row r="441">
      <c r="A441" s="5">
        <f>IF(B441="","","ORD-"&amp;TEXT(ROW()-1,"0000"))</f>
        <v/>
      </c>
      <c r="C441" s="5">
        <f>IFERROR(VLOOKUP(B441,Customers!A:B,2,FALSE),"")</f>
        <v/>
      </c>
      <c r="N441" s="5">
        <f>IF(K441="","",K441-IFERROR(L441,0)-IFERROR(M441,0))</f>
        <v/>
      </c>
    </row>
    <row r="442">
      <c r="A442" s="5">
        <f>IF(B442="","","ORD-"&amp;TEXT(ROW()-1,"0000"))</f>
        <v/>
      </c>
      <c r="C442" s="5">
        <f>IFERROR(VLOOKUP(B442,Customers!A:B,2,FALSE),"")</f>
        <v/>
      </c>
      <c r="N442" s="5">
        <f>IF(K442="","",K442-IFERROR(L442,0)-IFERROR(M442,0))</f>
        <v/>
      </c>
    </row>
    <row r="443">
      <c r="A443" s="5">
        <f>IF(B443="","","ORD-"&amp;TEXT(ROW()-1,"0000"))</f>
        <v/>
      </c>
      <c r="C443" s="5">
        <f>IFERROR(VLOOKUP(B443,Customers!A:B,2,FALSE),"")</f>
        <v/>
      </c>
      <c r="N443" s="5">
        <f>IF(K443="","",K443-IFERROR(L443,0)-IFERROR(M443,0))</f>
        <v/>
      </c>
    </row>
    <row r="444">
      <c r="A444" s="5">
        <f>IF(B444="","","ORD-"&amp;TEXT(ROW()-1,"0000"))</f>
        <v/>
      </c>
      <c r="C444" s="5">
        <f>IFERROR(VLOOKUP(B444,Customers!A:B,2,FALSE),"")</f>
        <v/>
      </c>
      <c r="N444" s="5">
        <f>IF(K444="","",K444-IFERROR(L444,0)-IFERROR(M444,0))</f>
        <v/>
      </c>
    </row>
    <row r="445">
      <c r="A445" s="5">
        <f>IF(B445="","","ORD-"&amp;TEXT(ROW()-1,"0000"))</f>
        <v/>
      </c>
      <c r="C445" s="5">
        <f>IFERROR(VLOOKUP(B445,Customers!A:B,2,FALSE),"")</f>
        <v/>
      </c>
      <c r="N445" s="5">
        <f>IF(K445="","",K445-IFERROR(L445,0)-IFERROR(M445,0))</f>
        <v/>
      </c>
    </row>
    <row r="446">
      <c r="A446" s="5">
        <f>IF(B446="","","ORD-"&amp;TEXT(ROW()-1,"0000"))</f>
        <v/>
      </c>
      <c r="C446" s="5">
        <f>IFERROR(VLOOKUP(B446,Customers!A:B,2,FALSE),"")</f>
        <v/>
      </c>
      <c r="N446" s="5">
        <f>IF(K446="","",K446-IFERROR(L446,0)-IFERROR(M446,0))</f>
        <v/>
      </c>
    </row>
    <row r="447">
      <c r="A447" s="5">
        <f>IF(B447="","","ORD-"&amp;TEXT(ROW()-1,"0000"))</f>
        <v/>
      </c>
      <c r="C447" s="5">
        <f>IFERROR(VLOOKUP(B447,Customers!A:B,2,FALSE),"")</f>
        <v/>
      </c>
      <c r="N447" s="5">
        <f>IF(K447="","",K447-IFERROR(L447,0)-IFERROR(M447,0))</f>
        <v/>
      </c>
    </row>
    <row r="448">
      <c r="A448" s="5">
        <f>IF(B448="","","ORD-"&amp;TEXT(ROW()-1,"0000"))</f>
        <v/>
      </c>
      <c r="C448" s="5">
        <f>IFERROR(VLOOKUP(B448,Customers!A:B,2,FALSE),"")</f>
        <v/>
      </c>
      <c r="N448" s="5">
        <f>IF(K448="","",K448-IFERROR(L448,0)-IFERROR(M448,0))</f>
        <v/>
      </c>
    </row>
    <row r="449">
      <c r="A449" s="5">
        <f>IF(B449="","","ORD-"&amp;TEXT(ROW()-1,"0000"))</f>
        <v/>
      </c>
      <c r="C449" s="5">
        <f>IFERROR(VLOOKUP(B449,Customers!A:B,2,FALSE),"")</f>
        <v/>
      </c>
      <c r="N449" s="5">
        <f>IF(K449="","",K449-IFERROR(L449,0)-IFERROR(M449,0))</f>
        <v/>
      </c>
    </row>
    <row r="450">
      <c r="A450" s="5">
        <f>IF(B450="","","ORD-"&amp;TEXT(ROW()-1,"0000"))</f>
        <v/>
      </c>
      <c r="C450" s="5">
        <f>IFERROR(VLOOKUP(B450,Customers!A:B,2,FALSE),"")</f>
        <v/>
      </c>
      <c r="N450" s="5">
        <f>IF(K450="","",K450-IFERROR(L450,0)-IFERROR(M450,0))</f>
        <v/>
      </c>
    </row>
    <row r="451">
      <c r="A451" s="5">
        <f>IF(B451="","","ORD-"&amp;TEXT(ROW()-1,"0000"))</f>
        <v/>
      </c>
      <c r="C451" s="5">
        <f>IFERROR(VLOOKUP(B451,Customers!A:B,2,FALSE),"")</f>
        <v/>
      </c>
      <c r="N451" s="5">
        <f>IF(K451="","",K451-IFERROR(L451,0)-IFERROR(M451,0))</f>
        <v/>
      </c>
    </row>
    <row r="452">
      <c r="A452" s="5">
        <f>IF(B452="","","ORD-"&amp;TEXT(ROW()-1,"0000"))</f>
        <v/>
      </c>
      <c r="C452" s="5">
        <f>IFERROR(VLOOKUP(B452,Customers!A:B,2,FALSE),"")</f>
        <v/>
      </c>
      <c r="N452" s="5">
        <f>IF(K452="","",K452-IFERROR(L452,0)-IFERROR(M452,0))</f>
        <v/>
      </c>
    </row>
    <row r="453">
      <c r="A453" s="5">
        <f>IF(B453="","","ORD-"&amp;TEXT(ROW()-1,"0000"))</f>
        <v/>
      </c>
      <c r="C453" s="5">
        <f>IFERROR(VLOOKUP(B453,Customers!A:B,2,FALSE),"")</f>
        <v/>
      </c>
      <c r="N453" s="5">
        <f>IF(K453="","",K453-IFERROR(L453,0)-IFERROR(M453,0))</f>
        <v/>
      </c>
    </row>
    <row r="454">
      <c r="A454" s="5">
        <f>IF(B454="","","ORD-"&amp;TEXT(ROW()-1,"0000"))</f>
        <v/>
      </c>
      <c r="C454" s="5">
        <f>IFERROR(VLOOKUP(B454,Customers!A:B,2,FALSE),"")</f>
        <v/>
      </c>
      <c r="N454" s="5">
        <f>IF(K454="","",K454-IFERROR(L454,0)-IFERROR(M454,0))</f>
        <v/>
      </c>
    </row>
    <row r="455">
      <c r="A455" s="5">
        <f>IF(B455="","","ORD-"&amp;TEXT(ROW()-1,"0000"))</f>
        <v/>
      </c>
      <c r="C455" s="5">
        <f>IFERROR(VLOOKUP(B455,Customers!A:B,2,FALSE),"")</f>
        <v/>
      </c>
      <c r="N455" s="5">
        <f>IF(K455="","",K455-IFERROR(L455,0)-IFERROR(M455,0))</f>
        <v/>
      </c>
    </row>
    <row r="456">
      <c r="A456" s="5">
        <f>IF(B456="","","ORD-"&amp;TEXT(ROW()-1,"0000"))</f>
        <v/>
      </c>
      <c r="C456" s="5">
        <f>IFERROR(VLOOKUP(B456,Customers!A:B,2,FALSE),"")</f>
        <v/>
      </c>
      <c r="N456" s="5">
        <f>IF(K456="","",K456-IFERROR(L456,0)-IFERROR(M456,0))</f>
        <v/>
      </c>
    </row>
    <row r="457">
      <c r="A457" s="5">
        <f>IF(B457="","","ORD-"&amp;TEXT(ROW()-1,"0000"))</f>
        <v/>
      </c>
      <c r="C457" s="5">
        <f>IFERROR(VLOOKUP(B457,Customers!A:B,2,FALSE),"")</f>
        <v/>
      </c>
      <c r="N457" s="5">
        <f>IF(K457="","",K457-IFERROR(L457,0)-IFERROR(M457,0))</f>
        <v/>
      </c>
    </row>
    <row r="458">
      <c r="A458" s="5">
        <f>IF(B458="","","ORD-"&amp;TEXT(ROW()-1,"0000"))</f>
        <v/>
      </c>
      <c r="C458" s="5">
        <f>IFERROR(VLOOKUP(B458,Customers!A:B,2,FALSE),"")</f>
        <v/>
      </c>
      <c r="N458" s="5">
        <f>IF(K458="","",K458-IFERROR(L458,0)-IFERROR(M458,0))</f>
        <v/>
      </c>
    </row>
    <row r="459">
      <c r="A459" s="5">
        <f>IF(B459="","","ORD-"&amp;TEXT(ROW()-1,"0000"))</f>
        <v/>
      </c>
      <c r="C459" s="5">
        <f>IFERROR(VLOOKUP(B459,Customers!A:B,2,FALSE),"")</f>
        <v/>
      </c>
      <c r="N459" s="5">
        <f>IF(K459="","",K459-IFERROR(L459,0)-IFERROR(M459,0))</f>
        <v/>
      </c>
    </row>
    <row r="460">
      <c r="A460" s="5">
        <f>IF(B460="","","ORD-"&amp;TEXT(ROW()-1,"0000"))</f>
        <v/>
      </c>
      <c r="C460" s="5">
        <f>IFERROR(VLOOKUP(B460,Customers!A:B,2,FALSE),"")</f>
        <v/>
      </c>
      <c r="N460" s="5">
        <f>IF(K460="","",K460-IFERROR(L460,0)-IFERROR(M460,0))</f>
        <v/>
      </c>
    </row>
    <row r="461">
      <c r="A461" s="5">
        <f>IF(B461="","","ORD-"&amp;TEXT(ROW()-1,"0000"))</f>
        <v/>
      </c>
      <c r="C461" s="5">
        <f>IFERROR(VLOOKUP(B461,Customers!A:B,2,FALSE),"")</f>
        <v/>
      </c>
      <c r="N461" s="5">
        <f>IF(K461="","",K461-IFERROR(L461,0)-IFERROR(M461,0))</f>
        <v/>
      </c>
    </row>
    <row r="462">
      <c r="A462" s="5">
        <f>IF(B462="","","ORD-"&amp;TEXT(ROW()-1,"0000"))</f>
        <v/>
      </c>
      <c r="C462" s="5">
        <f>IFERROR(VLOOKUP(B462,Customers!A:B,2,FALSE),"")</f>
        <v/>
      </c>
      <c r="N462" s="5">
        <f>IF(K462="","",K462-IFERROR(L462,0)-IFERROR(M462,0))</f>
        <v/>
      </c>
    </row>
    <row r="463">
      <c r="A463" s="5">
        <f>IF(B463="","","ORD-"&amp;TEXT(ROW()-1,"0000"))</f>
        <v/>
      </c>
      <c r="C463" s="5">
        <f>IFERROR(VLOOKUP(B463,Customers!A:B,2,FALSE),"")</f>
        <v/>
      </c>
      <c r="N463" s="5">
        <f>IF(K463="","",K463-IFERROR(L463,0)-IFERROR(M463,0))</f>
        <v/>
      </c>
    </row>
    <row r="464">
      <c r="A464" s="5">
        <f>IF(B464="","","ORD-"&amp;TEXT(ROW()-1,"0000"))</f>
        <v/>
      </c>
      <c r="C464" s="5">
        <f>IFERROR(VLOOKUP(B464,Customers!A:B,2,FALSE),"")</f>
        <v/>
      </c>
      <c r="N464" s="5">
        <f>IF(K464="","",K464-IFERROR(L464,0)-IFERROR(M464,0))</f>
        <v/>
      </c>
    </row>
    <row r="465">
      <c r="A465" s="5">
        <f>IF(B465="","","ORD-"&amp;TEXT(ROW()-1,"0000"))</f>
        <v/>
      </c>
      <c r="C465" s="5">
        <f>IFERROR(VLOOKUP(B465,Customers!A:B,2,FALSE),"")</f>
        <v/>
      </c>
      <c r="N465" s="5">
        <f>IF(K465="","",K465-IFERROR(L465,0)-IFERROR(M465,0))</f>
        <v/>
      </c>
    </row>
    <row r="466">
      <c r="A466" s="5">
        <f>IF(B466="","","ORD-"&amp;TEXT(ROW()-1,"0000"))</f>
        <v/>
      </c>
      <c r="C466" s="5">
        <f>IFERROR(VLOOKUP(B466,Customers!A:B,2,FALSE),"")</f>
        <v/>
      </c>
      <c r="N466" s="5">
        <f>IF(K466="","",K466-IFERROR(L466,0)-IFERROR(M466,0))</f>
        <v/>
      </c>
    </row>
    <row r="467">
      <c r="A467" s="5">
        <f>IF(B467="","","ORD-"&amp;TEXT(ROW()-1,"0000"))</f>
        <v/>
      </c>
      <c r="C467" s="5">
        <f>IFERROR(VLOOKUP(B467,Customers!A:B,2,FALSE),"")</f>
        <v/>
      </c>
      <c r="N467" s="5">
        <f>IF(K467="","",K467-IFERROR(L467,0)-IFERROR(M467,0))</f>
        <v/>
      </c>
    </row>
    <row r="468">
      <c r="A468" s="5">
        <f>IF(B468="","","ORD-"&amp;TEXT(ROW()-1,"0000"))</f>
        <v/>
      </c>
      <c r="C468" s="5">
        <f>IFERROR(VLOOKUP(B468,Customers!A:B,2,FALSE),"")</f>
        <v/>
      </c>
      <c r="N468" s="5">
        <f>IF(K468="","",K468-IFERROR(L468,0)-IFERROR(M468,0))</f>
        <v/>
      </c>
    </row>
    <row r="469">
      <c r="A469" s="5">
        <f>IF(B469="","","ORD-"&amp;TEXT(ROW()-1,"0000"))</f>
        <v/>
      </c>
      <c r="C469" s="5">
        <f>IFERROR(VLOOKUP(B469,Customers!A:B,2,FALSE),"")</f>
        <v/>
      </c>
      <c r="N469" s="5">
        <f>IF(K469="","",K469-IFERROR(L469,0)-IFERROR(M469,0))</f>
        <v/>
      </c>
    </row>
    <row r="470">
      <c r="A470" s="5">
        <f>IF(B470="","","ORD-"&amp;TEXT(ROW()-1,"0000"))</f>
        <v/>
      </c>
      <c r="C470" s="5">
        <f>IFERROR(VLOOKUP(B470,Customers!A:B,2,FALSE),"")</f>
        <v/>
      </c>
      <c r="N470" s="5">
        <f>IF(K470="","",K470-IFERROR(L470,0)-IFERROR(M470,0))</f>
        <v/>
      </c>
    </row>
    <row r="471">
      <c r="A471" s="5">
        <f>IF(B471="","","ORD-"&amp;TEXT(ROW()-1,"0000"))</f>
        <v/>
      </c>
      <c r="C471" s="5">
        <f>IFERROR(VLOOKUP(B471,Customers!A:B,2,FALSE),"")</f>
        <v/>
      </c>
      <c r="N471" s="5">
        <f>IF(K471="","",K471-IFERROR(L471,0)-IFERROR(M471,0))</f>
        <v/>
      </c>
    </row>
    <row r="472">
      <c r="A472" s="5">
        <f>IF(B472="","","ORD-"&amp;TEXT(ROW()-1,"0000"))</f>
        <v/>
      </c>
      <c r="C472" s="5">
        <f>IFERROR(VLOOKUP(B472,Customers!A:B,2,FALSE),"")</f>
        <v/>
      </c>
      <c r="N472" s="5">
        <f>IF(K472="","",K472-IFERROR(L472,0)-IFERROR(M472,0))</f>
        <v/>
      </c>
    </row>
    <row r="473">
      <c r="A473" s="5">
        <f>IF(B473="","","ORD-"&amp;TEXT(ROW()-1,"0000"))</f>
        <v/>
      </c>
      <c r="C473" s="5">
        <f>IFERROR(VLOOKUP(B473,Customers!A:B,2,FALSE),"")</f>
        <v/>
      </c>
      <c r="N473" s="5">
        <f>IF(K473="","",K473-IFERROR(L473,0)-IFERROR(M473,0))</f>
        <v/>
      </c>
    </row>
    <row r="474">
      <c r="A474" s="5">
        <f>IF(B474="","","ORD-"&amp;TEXT(ROW()-1,"0000"))</f>
        <v/>
      </c>
      <c r="C474" s="5">
        <f>IFERROR(VLOOKUP(B474,Customers!A:B,2,FALSE),"")</f>
        <v/>
      </c>
      <c r="N474" s="5">
        <f>IF(K474="","",K474-IFERROR(L474,0)-IFERROR(M474,0))</f>
        <v/>
      </c>
    </row>
    <row r="475">
      <c r="A475" s="5">
        <f>IF(B475="","","ORD-"&amp;TEXT(ROW()-1,"0000"))</f>
        <v/>
      </c>
      <c r="C475" s="5">
        <f>IFERROR(VLOOKUP(B475,Customers!A:B,2,FALSE),"")</f>
        <v/>
      </c>
      <c r="N475" s="5">
        <f>IF(K475="","",K475-IFERROR(L475,0)-IFERROR(M475,0))</f>
        <v/>
      </c>
    </row>
    <row r="476">
      <c r="A476" s="5">
        <f>IF(B476="","","ORD-"&amp;TEXT(ROW()-1,"0000"))</f>
        <v/>
      </c>
      <c r="C476" s="5">
        <f>IFERROR(VLOOKUP(B476,Customers!A:B,2,FALSE),"")</f>
        <v/>
      </c>
      <c r="N476" s="5">
        <f>IF(K476="","",K476-IFERROR(L476,0)-IFERROR(M476,0))</f>
        <v/>
      </c>
    </row>
    <row r="477">
      <c r="A477" s="5">
        <f>IF(B477="","","ORD-"&amp;TEXT(ROW()-1,"0000"))</f>
        <v/>
      </c>
      <c r="C477" s="5">
        <f>IFERROR(VLOOKUP(B477,Customers!A:B,2,FALSE),"")</f>
        <v/>
      </c>
      <c r="N477" s="5">
        <f>IF(K477="","",K477-IFERROR(L477,0)-IFERROR(M477,0))</f>
        <v/>
      </c>
    </row>
    <row r="478">
      <c r="A478" s="5">
        <f>IF(B478="","","ORD-"&amp;TEXT(ROW()-1,"0000"))</f>
        <v/>
      </c>
      <c r="C478" s="5">
        <f>IFERROR(VLOOKUP(B478,Customers!A:B,2,FALSE),"")</f>
        <v/>
      </c>
      <c r="N478" s="5">
        <f>IF(K478="","",K478-IFERROR(L478,0)-IFERROR(M478,0))</f>
        <v/>
      </c>
    </row>
    <row r="479">
      <c r="A479" s="5">
        <f>IF(B479="","","ORD-"&amp;TEXT(ROW()-1,"0000"))</f>
        <v/>
      </c>
      <c r="C479" s="5">
        <f>IFERROR(VLOOKUP(B479,Customers!A:B,2,FALSE),"")</f>
        <v/>
      </c>
      <c r="N479" s="5">
        <f>IF(K479="","",K479-IFERROR(L479,0)-IFERROR(M479,0))</f>
        <v/>
      </c>
    </row>
    <row r="480">
      <c r="A480" s="5">
        <f>IF(B480="","","ORD-"&amp;TEXT(ROW()-1,"0000"))</f>
        <v/>
      </c>
      <c r="C480" s="5">
        <f>IFERROR(VLOOKUP(B480,Customers!A:B,2,FALSE),"")</f>
        <v/>
      </c>
      <c r="N480" s="5">
        <f>IF(K480="","",K480-IFERROR(L480,0)-IFERROR(M480,0))</f>
        <v/>
      </c>
    </row>
    <row r="481">
      <c r="A481" s="5">
        <f>IF(B481="","","ORD-"&amp;TEXT(ROW()-1,"0000"))</f>
        <v/>
      </c>
      <c r="C481" s="5">
        <f>IFERROR(VLOOKUP(B481,Customers!A:B,2,FALSE),"")</f>
        <v/>
      </c>
      <c r="N481" s="5">
        <f>IF(K481="","",K481-IFERROR(L481,0)-IFERROR(M481,0))</f>
        <v/>
      </c>
    </row>
    <row r="482">
      <c r="A482" s="5">
        <f>IF(B482="","","ORD-"&amp;TEXT(ROW()-1,"0000"))</f>
        <v/>
      </c>
      <c r="C482" s="5">
        <f>IFERROR(VLOOKUP(B482,Customers!A:B,2,FALSE),"")</f>
        <v/>
      </c>
      <c r="N482" s="5">
        <f>IF(K482="","",K482-IFERROR(L482,0)-IFERROR(M482,0))</f>
        <v/>
      </c>
    </row>
    <row r="483">
      <c r="A483" s="5">
        <f>IF(B483="","","ORD-"&amp;TEXT(ROW()-1,"0000"))</f>
        <v/>
      </c>
      <c r="C483" s="5">
        <f>IFERROR(VLOOKUP(B483,Customers!A:B,2,FALSE),"")</f>
        <v/>
      </c>
      <c r="N483" s="5">
        <f>IF(K483="","",K483-IFERROR(L483,0)-IFERROR(M483,0))</f>
        <v/>
      </c>
    </row>
    <row r="484">
      <c r="A484" s="5">
        <f>IF(B484="","","ORD-"&amp;TEXT(ROW()-1,"0000"))</f>
        <v/>
      </c>
      <c r="C484" s="5">
        <f>IFERROR(VLOOKUP(B484,Customers!A:B,2,FALSE),"")</f>
        <v/>
      </c>
      <c r="N484" s="5">
        <f>IF(K484="","",K484-IFERROR(L484,0)-IFERROR(M484,0))</f>
        <v/>
      </c>
    </row>
    <row r="485">
      <c r="A485" s="5">
        <f>IF(B485="","","ORD-"&amp;TEXT(ROW()-1,"0000"))</f>
        <v/>
      </c>
      <c r="C485" s="5">
        <f>IFERROR(VLOOKUP(B485,Customers!A:B,2,FALSE),"")</f>
        <v/>
      </c>
      <c r="N485" s="5">
        <f>IF(K485="","",K485-IFERROR(L485,0)-IFERROR(M485,0))</f>
        <v/>
      </c>
    </row>
    <row r="486">
      <c r="A486" s="5">
        <f>IF(B486="","","ORD-"&amp;TEXT(ROW()-1,"0000"))</f>
        <v/>
      </c>
      <c r="C486" s="5">
        <f>IFERROR(VLOOKUP(B486,Customers!A:B,2,FALSE),"")</f>
        <v/>
      </c>
      <c r="N486" s="5">
        <f>IF(K486="","",K486-IFERROR(L486,0)-IFERROR(M486,0))</f>
        <v/>
      </c>
    </row>
    <row r="487">
      <c r="A487" s="5">
        <f>IF(B487="","","ORD-"&amp;TEXT(ROW()-1,"0000"))</f>
        <v/>
      </c>
      <c r="C487" s="5">
        <f>IFERROR(VLOOKUP(B487,Customers!A:B,2,FALSE),"")</f>
        <v/>
      </c>
      <c r="N487" s="5">
        <f>IF(K487="","",K487-IFERROR(L487,0)-IFERROR(M487,0))</f>
        <v/>
      </c>
    </row>
    <row r="488">
      <c r="A488" s="5">
        <f>IF(B488="","","ORD-"&amp;TEXT(ROW()-1,"0000"))</f>
        <v/>
      </c>
      <c r="C488" s="5">
        <f>IFERROR(VLOOKUP(B488,Customers!A:B,2,FALSE),"")</f>
        <v/>
      </c>
      <c r="N488" s="5">
        <f>IF(K488="","",K488-IFERROR(L488,0)-IFERROR(M488,0))</f>
        <v/>
      </c>
    </row>
    <row r="489">
      <c r="A489" s="5">
        <f>IF(B489="","","ORD-"&amp;TEXT(ROW()-1,"0000"))</f>
        <v/>
      </c>
      <c r="C489" s="5">
        <f>IFERROR(VLOOKUP(B489,Customers!A:B,2,FALSE),"")</f>
        <v/>
      </c>
      <c r="N489" s="5">
        <f>IF(K489="","",K489-IFERROR(L489,0)-IFERROR(M489,0))</f>
        <v/>
      </c>
    </row>
    <row r="490">
      <c r="A490" s="5">
        <f>IF(B490="","","ORD-"&amp;TEXT(ROW()-1,"0000"))</f>
        <v/>
      </c>
      <c r="C490" s="5">
        <f>IFERROR(VLOOKUP(B490,Customers!A:B,2,FALSE),"")</f>
        <v/>
      </c>
      <c r="N490" s="5">
        <f>IF(K490="","",K490-IFERROR(L490,0)-IFERROR(M490,0))</f>
        <v/>
      </c>
    </row>
    <row r="491">
      <c r="A491" s="5">
        <f>IF(B491="","","ORD-"&amp;TEXT(ROW()-1,"0000"))</f>
        <v/>
      </c>
      <c r="C491" s="5">
        <f>IFERROR(VLOOKUP(B491,Customers!A:B,2,FALSE),"")</f>
        <v/>
      </c>
      <c r="N491" s="5">
        <f>IF(K491="","",K491-IFERROR(L491,0)-IFERROR(M491,0))</f>
        <v/>
      </c>
    </row>
    <row r="492">
      <c r="A492" s="5">
        <f>IF(B492="","","ORD-"&amp;TEXT(ROW()-1,"0000"))</f>
        <v/>
      </c>
      <c r="C492" s="5">
        <f>IFERROR(VLOOKUP(B492,Customers!A:B,2,FALSE),"")</f>
        <v/>
      </c>
      <c r="N492" s="5">
        <f>IF(K492="","",K492-IFERROR(L492,0)-IFERROR(M492,0))</f>
        <v/>
      </c>
    </row>
    <row r="493">
      <c r="A493" s="5">
        <f>IF(B493="","","ORD-"&amp;TEXT(ROW()-1,"0000"))</f>
        <v/>
      </c>
      <c r="C493" s="5">
        <f>IFERROR(VLOOKUP(B493,Customers!A:B,2,FALSE),"")</f>
        <v/>
      </c>
      <c r="N493" s="5">
        <f>IF(K493="","",K493-IFERROR(L493,0)-IFERROR(M493,0))</f>
        <v/>
      </c>
    </row>
    <row r="494">
      <c r="A494" s="5">
        <f>IF(B494="","","ORD-"&amp;TEXT(ROW()-1,"0000"))</f>
        <v/>
      </c>
      <c r="C494" s="5">
        <f>IFERROR(VLOOKUP(B494,Customers!A:B,2,FALSE),"")</f>
        <v/>
      </c>
      <c r="N494" s="5">
        <f>IF(K494="","",K494-IFERROR(L494,0)-IFERROR(M494,0))</f>
        <v/>
      </c>
    </row>
    <row r="495">
      <c r="A495" s="5">
        <f>IF(B495="","","ORD-"&amp;TEXT(ROW()-1,"0000"))</f>
        <v/>
      </c>
      <c r="C495" s="5">
        <f>IFERROR(VLOOKUP(B495,Customers!A:B,2,FALSE),"")</f>
        <v/>
      </c>
      <c r="N495" s="5">
        <f>IF(K495="","",K495-IFERROR(L495,0)-IFERROR(M495,0))</f>
        <v/>
      </c>
    </row>
    <row r="496">
      <c r="A496" s="5">
        <f>IF(B496="","","ORD-"&amp;TEXT(ROW()-1,"0000"))</f>
        <v/>
      </c>
      <c r="C496" s="5">
        <f>IFERROR(VLOOKUP(B496,Customers!A:B,2,FALSE),"")</f>
        <v/>
      </c>
      <c r="N496" s="5">
        <f>IF(K496="","",K496-IFERROR(L496,0)-IFERROR(M496,0))</f>
        <v/>
      </c>
    </row>
    <row r="497">
      <c r="A497" s="5">
        <f>IF(B497="","","ORD-"&amp;TEXT(ROW()-1,"0000"))</f>
        <v/>
      </c>
      <c r="C497" s="5">
        <f>IFERROR(VLOOKUP(B497,Customers!A:B,2,FALSE),"")</f>
        <v/>
      </c>
      <c r="N497" s="5">
        <f>IF(K497="","",K497-IFERROR(L497,0)-IFERROR(M497,0))</f>
        <v/>
      </c>
    </row>
    <row r="498">
      <c r="A498" s="5">
        <f>IF(B498="","","ORD-"&amp;TEXT(ROW()-1,"0000"))</f>
        <v/>
      </c>
      <c r="C498" s="5">
        <f>IFERROR(VLOOKUP(B498,Customers!A:B,2,FALSE),"")</f>
        <v/>
      </c>
      <c r="N498" s="5">
        <f>IF(K498="","",K498-IFERROR(L498,0)-IFERROR(M498,0))</f>
        <v/>
      </c>
    </row>
    <row r="499">
      <c r="A499" s="5">
        <f>IF(B499="","","ORD-"&amp;TEXT(ROW()-1,"0000"))</f>
        <v/>
      </c>
      <c r="C499" s="5">
        <f>IFERROR(VLOOKUP(B499,Customers!A:B,2,FALSE),"")</f>
        <v/>
      </c>
      <c r="N499" s="5">
        <f>IF(K499="","",K499-IFERROR(L499,0)-IFERROR(M499,0))</f>
        <v/>
      </c>
    </row>
    <row r="500">
      <c r="A500" s="5">
        <f>IF(B500="","","ORD-"&amp;TEXT(ROW()-1,"0000"))</f>
        <v/>
      </c>
      <c r="C500" s="5">
        <f>IFERROR(VLOOKUP(B500,Customers!A:B,2,FALSE),"")</f>
        <v/>
      </c>
      <c r="N500" s="5">
        <f>IF(K500="","",K500-IFERROR(L500,0)-IFERROR(M500,0))</f>
        <v/>
      </c>
    </row>
    <row r="501">
      <c r="A501" s="5">
        <f>IF(B501="","","ORD-"&amp;TEXT(ROW()-1,"0000"))</f>
        <v/>
      </c>
      <c r="C501" s="5">
        <f>IFERROR(VLOOKUP(B501,Customers!A:B,2,FALSE),"")</f>
        <v/>
      </c>
      <c r="N501" s="5">
        <f>IF(K501="","",K501-IFERROR(L501,0)-IFERROR(M501,0))</f>
        <v/>
      </c>
    </row>
  </sheetData>
  <dataValidations count="6">
    <dataValidation sqref="F2:F1000" showDropDown="0" showInputMessage="0" showErrorMessage="0" allowBlank="1" type="list">
      <formula1>"Cake,Cupcakes,Brownies,Cake Tub,Bomboloni,Mixed"</formula1>
    </dataValidation>
    <dataValidation sqref="O2:O1000" showDropDown="0" showInputMessage="0" showErrorMessage="0" allowBlank="1" type="list">
      <formula1>"UPI,Cash,Bank Transfer,Mixed"</formula1>
    </dataValidation>
    <dataValidation sqref="P2:P1000" showDropDown="0" showInputMessage="0" showErrorMessage="0" allowBlank="1" type="list">
      <formula1>"Customer pickup,Own delivery,Porter,Dunzo,Other"</formula1>
    </dataValidation>
    <dataValidation sqref="T2:T1000" showDropDown="0" showInputMessage="0" showErrorMessage="0" allowBlank="1" type="list">
      <formula1>"Queued,Prep,Bake,Decorate,Done"</formula1>
    </dataValidation>
    <dataValidation sqref="U2:U1000" showDropDown="0" showInputMessage="0" showErrorMessage="0" allowBlank="1" type="list">
      <formula1>"Pending,Out,Delivered,Issue"</formula1>
    </dataValidation>
    <dataValidation sqref="V2:V1000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8" customWidth="1" min="4" max="4"/>
    <col width="16" customWidth="1" min="5" max="5"/>
    <col width="14" customWidth="1" min="6" max="6"/>
    <col width="32" customWidth="1" min="7" max="7"/>
    <col width="36" customWidth="1" min="8" max="8"/>
    <col width="14" customWidth="1" min="9" max="9"/>
  </cols>
  <sheetData>
    <row r="1" ht="36" customHeight="1">
      <c r="A1" s="4" t="inlineStr">
        <is>
          <t>Occasion ID</t>
        </is>
      </c>
      <c r="B1" s="4" t="inlineStr">
        <is>
          <t>Customer ID</t>
        </is>
      </c>
      <c r="C1" s="4" t="inlineStr">
        <is>
          <t>Name (auto)</t>
        </is>
      </c>
      <c r="D1" s="4" t="inlineStr">
        <is>
          <t>Type</t>
        </is>
      </c>
      <c r="E1" s="4" t="inlineStr">
        <is>
          <t>Month-Day (MM-DD)</t>
        </is>
      </c>
      <c r="F1" s="4" t="inlineStr">
        <is>
          <t>Year first known</t>
        </is>
      </c>
      <c r="G1" s="4" t="inlineStr">
        <is>
          <t>For whom</t>
        </is>
      </c>
      <c r="H1" s="4" t="inlineStr">
        <is>
          <t>Notes</t>
        </is>
      </c>
      <c r="I1" s="4" t="inlineStr">
        <is>
          <t>Consent (auto)</t>
        </is>
      </c>
    </row>
    <row r="2">
      <c r="A2" s="5">
        <f>IF(B2="","","OCC-"&amp;TEXT(ROW()-1,"0000"))</f>
        <v/>
      </c>
      <c r="B2" s="7" t="inlineStr">
        <is>
          <t>CUS-0001</t>
        </is>
      </c>
      <c r="C2" s="5">
        <f>IFERROR(VLOOKUP(B2,Customers!A:B,2,FALSE),"")</f>
        <v/>
      </c>
      <c r="D2" s="7" t="inlineStr">
        <is>
          <t>Birthday (kid)</t>
        </is>
      </c>
      <c r="E2" s="7" t="inlineStr">
        <is>
          <t>08-14</t>
        </is>
      </c>
      <c r="F2" s="7" t="n">
        <v>2019</v>
      </c>
      <c r="G2" s="7" t="inlineStr">
        <is>
          <t>Aanya (daughter, turns 7 in 2026)</t>
        </is>
      </c>
      <c r="H2" s="7" t="inlineStr">
        <is>
          <t>Eggless mandatory; loves unicorns and pastels</t>
        </is>
      </c>
      <c r="I2" s="5">
        <f>IFERROR(VLOOKUP(B2,Customers!A:L,12,FALSE),"")</f>
        <v/>
      </c>
    </row>
    <row r="3">
      <c r="A3" s="5">
        <f>IF(B3="","","OCC-"&amp;TEXT(ROW()-1,"0000"))</f>
        <v/>
      </c>
      <c r="B3" s="7" t="inlineStr">
        <is>
          <t>CUS-0001</t>
        </is>
      </c>
      <c r="C3" s="5">
        <f>IFERROR(VLOOKUP(B3,Customers!A:B,2,FALSE),"")</f>
        <v/>
      </c>
      <c r="D3" s="7" t="inlineStr">
        <is>
          <t>Birthday (kid)</t>
        </is>
      </c>
      <c r="E3" s="7" t="inlineStr">
        <is>
          <t>01-22</t>
        </is>
      </c>
      <c r="F3" s="7" t="n">
        <v>2021</v>
      </c>
      <c r="G3" s="7" t="inlineStr">
        <is>
          <t>Veer (son, turned 5 in 2026)</t>
        </is>
      </c>
      <c r="H3" s="7" t="inlineStr">
        <is>
          <t>Dinosaur fan; dark chocolate fine</t>
        </is>
      </c>
      <c r="I3" s="5">
        <f>IFERROR(VLOOKUP(B3,Customers!A:L,12,FALSE),"")</f>
        <v/>
      </c>
    </row>
    <row r="4">
      <c r="A4" s="5">
        <f>IF(B4="","","OCC-"&amp;TEXT(ROW()-1,"0000"))</f>
        <v/>
      </c>
      <c r="B4" s="7" t="inlineStr">
        <is>
          <t>CUS-0001</t>
        </is>
      </c>
      <c r="C4" s="5">
        <f>IFERROR(VLOOKUP(B4,Customers!A:B,2,FALSE),"")</f>
        <v/>
      </c>
      <c r="D4" s="7" t="inlineStr">
        <is>
          <t>Anniversary</t>
        </is>
      </c>
      <c r="E4" s="7" t="inlineStr">
        <is>
          <t>11-12</t>
        </is>
      </c>
      <c r="F4" s="7" t="n">
        <v>2017</v>
      </c>
      <c r="G4" s="7" t="inlineStr">
        <is>
          <t>Arjun &amp; Tanya</t>
        </is>
      </c>
      <c r="I4" s="5">
        <f>IFERROR(VLOOKUP(B4,Customers!A:L,12,FALSE),"")</f>
        <v/>
      </c>
    </row>
    <row r="5">
      <c r="A5" s="5">
        <f>IF(B5="","","OCC-"&amp;TEXT(ROW()-1,"0000"))</f>
        <v/>
      </c>
      <c r="B5" s="7" t="inlineStr">
        <is>
          <t>CUS-0002</t>
        </is>
      </c>
      <c r="C5" s="5">
        <f>IFERROR(VLOOKUP(B5,Customers!A:B,2,FALSE),"")</f>
        <v/>
      </c>
      <c r="D5" s="7" t="inlineStr">
        <is>
          <t>Birthday (kid)</t>
        </is>
      </c>
      <c r="E5" s="7" t="inlineStr">
        <is>
          <t>05-30</t>
        </is>
      </c>
      <c r="F5" s="7" t="n">
        <v>2019</v>
      </c>
      <c r="G5" s="7" t="inlineStr">
        <is>
          <t>Aarav (son, turning 7)</t>
        </is>
      </c>
      <c r="H5" s="7" t="inlineStr">
        <is>
          <t>Theme changes yearly — confirm 2 wks before</t>
        </is>
      </c>
      <c r="I5" s="5">
        <f>IFERROR(VLOOKUP(B5,Customers!A:L,12,FALSE),"")</f>
        <v/>
      </c>
    </row>
    <row r="6">
      <c r="A6" s="5">
        <f>IF(B6="","","OCC-"&amp;TEXT(ROW()-1,"0000"))</f>
        <v/>
      </c>
      <c r="B6" s="7" t="inlineStr">
        <is>
          <t>CUS-0002</t>
        </is>
      </c>
      <c r="C6" s="5">
        <f>IFERROR(VLOOKUP(B6,Customers!A:B,2,FALSE),"")</f>
        <v/>
      </c>
      <c r="D6" s="7" t="inlineStr">
        <is>
          <t>Birthday (self)</t>
        </is>
      </c>
      <c r="E6" s="7" t="inlineStr">
        <is>
          <t>10-04</t>
        </is>
      </c>
      <c r="F6" s="7" t="n">
        <v>1989</v>
      </c>
      <c r="G6" s="7" t="inlineStr">
        <is>
          <t>Priya</t>
        </is>
      </c>
      <c r="I6" s="5">
        <f>IFERROR(VLOOKUP(B6,Customers!A:L,12,FALSE),"")</f>
        <v/>
      </c>
    </row>
    <row r="7">
      <c r="A7" s="5">
        <f>IF(B7="","","OCC-"&amp;TEXT(ROW()-1,"0000"))</f>
        <v/>
      </c>
      <c r="B7" s="7" t="inlineStr">
        <is>
          <t>CUS-0003</t>
        </is>
      </c>
      <c r="C7" s="5">
        <f>IFERROR(VLOOKUP(B7,Customers!A:B,2,FALSE),"")</f>
        <v/>
      </c>
      <c r="D7" s="7" t="inlineStr">
        <is>
          <t>Anniversary</t>
        </is>
      </c>
      <c r="E7" s="7" t="inlineStr">
        <is>
          <t>12-02</t>
        </is>
      </c>
      <c r="F7" s="7" t="n">
        <v>2014</v>
      </c>
      <c r="G7" s="7" t="inlineStr">
        <is>
          <t>Karthik &amp; Meghna</t>
        </is>
      </c>
      <c r="H7" s="7" t="inlineStr">
        <is>
          <t>Office cake annual tradition</t>
        </is>
      </c>
      <c r="I7" s="5">
        <f>IFERROR(VLOOKUP(B7,Customers!A:L,12,FALSE),"")</f>
        <v/>
      </c>
    </row>
    <row r="8">
      <c r="A8" s="5">
        <f>IF(B8="","","OCC-"&amp;TEXT(ROW()-1,"0000"))</f>
        <v/>
      </c>
      <c r="B8" s="7" t="inlineStr">
        <is>
          <t>CUS-0004</t>
        </is>
      </c>
      <c r="C8" s="5">
        <f>IFERROR(VLOOKUP(B8,Customers!A:B,2,FALSE),"")</f>
        <v/>
      </c>
      <c r="D8" s="7" t="inlineStr">
        <is>
          <t>Birthday (kid)</t>
        </is>
      </c>
      <c r="E8" s="7" t="inlineStr">
        <is>
          <t>03-09</t>
        </is>
      </c>
      <c r="F8" s="7" t="n">
        <v>2020</v>
      </c>
      <c r="G8" s="7" t="inlineStr">
        <is>
          <t>Myra (daughter, turned 6)</t>
        </is>
      </c>
      <c r="H8" s="7" t="inlineStr">
        <is>
          <t>Jain eggless; no fondant figures</t>
        </is>
      </c>
      <c r="I8" s="5">
        <f>IFERROR(VLOOKUP(B8,Customers!A:L,12,FALSE),"")</f>
        <v/>
      </c>
    </row>
    <row r="9">
      <c r="A9" s="5">
        <f>IF(B9="","","OCC-"&amp;TEXT(ROW()-1,"0000"))</f>
        <v/>
      </c>
      <c r="B9" s="7" t="inlineStr">
        <is>
          <t>CUS-0004</t>
        </is>
      </c>
      <c r="C9" s="5">
        <f>IFERROR(VLOOKUP(B9,Customers!A:B,2,FALSE),"")</f>
        <v/>
      </c>
      <c r="D9" s="7" t="inlineStr">
        <is>
          <t>Birthday (kid)</t>
        </is>
      </c>
      <c r="E9" s="7" t="inlineStr">
        <is>
          <t>09-21</t>
        </is>
      </c>
      <c r="F9" s="7" t="n">
        <v>2022</v>
      </c>
      <c r="G9" s="7" t="inlineStr">
        <is>
          <t>Krish (son, turning 4)</t>
        </is>
      </c>
      <c r="I9" s="5">
        <f>IFERROR(VLOOKUP(B9,Customers!A:L,12,FALSE),"")</f>
        <v/>
      </c>
    </row>
    <row r="10">
      <c r="A10" s="5">
        <f>IF(B10="","","OCC-"&amp;TEXT(ROW()-1,"0000"))</f>
        <v/>
      </c>
      <c r="B10" s="7" t="inlineStr">
        <is>
          <t>CUS-0005</t>
        </is>
      </c>
      <c r="C10" s="5">
        <f>IFERROR(VLOOKUP(B10,Customers!A:B,2,FALSE),"")</f>
        <v/>
      </c>
      <c r="D10" s="7" t="inlineStr">
        <is>
          <t>Anniversary</t>
        </is>
      </c>
      <c r="E10" s="7" t="inlineStr">
        <is>
          <t>12-29</t>
        </is>
      </c>
      <c r="F10" s="7" t="n">
        <v>2017</v>
      </c>
      <c r="G10" s="7" t="inlineStr">
        <is>
          <t>Rohan &amp; Nisha</t>
        </is>
      </c>
      <c r="H10" s="7" t="inlineStr">
        <is>
          <t>Always last-minute (1-day notice)</t>
        </is>
      </c>
      <c r="I10" s="5">
        <f>IFERROR(VLOOKUP(B10,Customers!A:L,12,FALSE),"")</f>
        <v/>
      </c>
    </row>
    <row r="11">
      <c r="A11" s="5">
        <f>IF(B11="","","OCC-"&amp;TEXT(ROW()-1,"0000"))</f>
        <v/>
      </c>
      <c r="B11" s="7" t="inlineStr">
        <is>
          <t>CUS-0007</t>
        </is>
      </c>
      <c r="C11" s="5">
        <f>IFERROR(VLOOKUP(B11,Customers!A:B,2,FALSE),"")</f>
        <v/>
      </c>
      <c r="D11" s="7" t="inlineStr">
        <is>
          <t>Diwali bulk</t>
        </is>
      </c>
      <c r="E11" s="7" t="inlineStr">
        <is>
          <t>11-01</t>
        </is>
      </c>
      <c r="F11" s="7" t="n">
        <v>2025</v>
      </c>
      <c r="G11" s="7" t="inlineStr">
        <is>
          <t>Sandeep — corporate gifting</t>
        </is>
      </c>
      <c r="H11" s="7" t="inlineStr">
        <is>
          <t>50+ assorted boxes; lock production calendar 3 wks ahead</t>
        </is>
      </c>
      <c r="I11" s="5">
        <f>IFERROR(VLOOKUP(B11,Customers!A:L,12,FALSE),"")</f>
        <v/>
      </c>
    </row>
    <row r="12">
      <c r="A12" s="5">
        <f>IF(B12="","","OCC-"&amp;TEXT(ROW()-1,"0000"))</f>
        <v/>
      </c>
      <c r="B12" s="7" t="inlineStr">
        <is>
          <t>CUS-0008</t>
        </is>
      </c>
      <c r="C12" s="5">
        <f>IFERROR(VLOOKUP(B12,Customers!A:B,2,FALSE),"")</f>
        <v/>
      </c>
      <c r="D12" s="7" t="inlineStr">
        <is>
          <t>Birthday (self)</t>
        </is>
      </c>
      <c r="E12" s="7" t="inlineStr">
        <is>
          <t>05-30</t>
        </is>
      </c>
      <c r="F12" s="7" t="n">
        <v>1988</v>
      </c>
      <c r="G12" s="7" t="inlineStr">
        <is>
          <t>Sneha</t>
        </is>
      </c>
      <c r="H12" s="7" t="inlineStr">
        <is>
          <t>Eggless preferred</t>
        </is>
      </c>
      <c r="I12" s="5">
        <f>IFERROR(VLOOKUP(B12,Customers!A:L,12,FALSE),"")</f>
        <v/>
      </c>
    </row>
    <row r="13">
      <c r="A13" s="5">
        <f>IF(B13="","","OCC-"&amp;TEXT(ROW()-1,"0000"))</f>
        <v/>
      </c>
      <c r="B13" s="7" t="inlineStr">
        <is>
          <t>CUS-0009</t>
        </is>
      </c>
      <c r="C13" s="5">
        <f>IFERROR(VLOOKUP(B13,Customers!A:B,2,FALSE),"")</f>
        <v/>
      </c>
      <c r="D13" s="7" t="inlineStr">
        <is>
          <t>Anniversary</t>
        </is>
      </c>
      <c r="E13" s="7" t="inlineStr">
        <is>
          <t>05-27</t>
        </is>
      </c>
      <c r="F13" s="7" t="n">
        <v>2016</v>
      </c>
      <c r="G13" s="7" t="inlineStr">
        <is>
          <t>Vikram &amp; Ria</t>
        </is>
      </c>
      <c r="H13" s="7" t="inlineStr">
        <is>
          <t>Photo edible-print preferred</t>
        </is>
      </c>
      <c r="I13" s="5">
        <f>IFERROR(VLOOKUP(B13,Customers!A:L,12,FALSE),"")</f>
        <v/>
      </c>
    </row>
    <row r="14">
      <c r="A14" s="5">
        <f>IF(B14="","","OCC-"&amp;TEXT(ROW()-1,"0000"))</f>
        <v/>
      </c>
      <c r="B14" s="7" t="inlineStr">
        <is>
          <t>CUS-0009</t>
        </is>
      </c>
      <c r="C14" s="5">
        <f>IFERROR(VLOOKUP(B14,Customers!A:B,2,FALSE),"")</f>
        <v/>
      </c>
      <c r="D14" s="7" t="inlineStr">
        <is>
          <t>Birthday (kid)</t>
        </is>
      </c>
      <c r="E14" s="7" t="inlineStr">
        <is>
          <t>07-19</t>
        </is>
      </c>
      <c r="F14" s="7" t="n">
        <v>2018</v>
      </c>
      <c r="G14" s="7" t="inlineStr">
        <is>
          <t>Aria (daughter, turning 8)</t>
        </is>
      </c>
      <c r="I14" s="5">
        <f>IFERROR(VLOOKUP(B14,Customers!A:L,12,FALSE),"")</f>
        <v/>
      </c>
    </row>
    <row r="15">
      <c r="A15" s="5">
        <f>IF(B15="","","OCC-"&amp;TEXT(ROW()-1,"0000"))</f>
        <v/>
      </c>
      <c r="B15" s="7" t="inlineStr">
        <is>
          <t>CUS-0010</t>
        </is>
      </c>
      <c r="C15" s="5">
        <f>IFERROR(VLOOKUP(B15,Customers!A:B,2,FALSE),"")</f>
        <v/>
      </c>
      <c r="D15" s="7" t="inlineStr">
        <is>
          <t>Birthday (self)</t>
        </is>
      </c>
      <c r="E15" s="7" t="inlineStr">
        <is>
          <t>11-23</t>
        </is>
      </c>
      <c r="F15" s="7" t="n">
        <v>1991</v>
      </c>
      <c r="G15" s="7" t="inlineStr">
        <is>
          <t>Aditi</t>
        </is>
      </c>
      <c r="I15" s="5">
        <f>IFERROR(VLOOKUP(B15,Customers!A:L,12,FALSE),"")</f>
        <v/>
      </c>
    </row>
    <row r="16">
      <c r="A16" s="5">
        <f>IF(B16="","","OCC-"&amp;TEXT(ROW()-1,"0000"))</f>
        <v/>
      </c>
      <c r="C16" s="5">
        <f>IFERROR(VLOOKUP(B16,Customers!A:B,2,FALSE),"")</f>
        <v/>
      </c>
      <c r="I16" s="5">
        <f>IFERROR(VLOOKUP(B16,Customers!A:L,12,FALSE),"")</f>
        <v/>
      </c>
    </row>
    <row r="17">
      <c r="A17" s="5">
        <f>IF(B17="","","OCC-"&amp;TEXT(ROW()-1,"0000"))</f>
        <v/>
      </c>
      <c r="C17" s="5">
        <f>IFERROR(VLOOKUP(B17,Customers!A:B,2,FALSE),"")</f>
        <v/>
      </c>
      <c r="I17" s="5">
        <f>IFERROR(VLOOKUP(B17,Customers!A:L,12,FALSE),"")</f>
        <v/>
      </c>
    </row>
    <row r="18">
      <c r="A18" s="5">
        <f>IF(B18="","","OCC-"&amp;TEXT(ROW()-1,"0000"))</f>
        <v/>
      </c>
      <c r="C18" s="5">
        <f>IFERROR(VLOOKUP(B18,Customers!A:B,2,FALSE),"")</f>
        <v/>
      </c>
      <c r="I18" s="5">
        <f>IFERROR(VLOOKUP(B18,Customers!A:L,12,FALSE),"")</f>
        <v/>
      </c>
    </row>
    <row r="19">
      <c r="A19" s="5">
        <f>IF(B19="","","OCC-"&amp;TEXT(ROW()-1,"0000"))</f>
        <v/>
      </c>
      <c r="C19" s="5">
        <f>IFERROR(VLOOKUP(B19,Customers!A:B,2,FALSE),"")</f>
        <v/>
      </c>
      <c r="I19" s="5">
        <f>IFERROR(VLOOKUP(B19,Customers!A:L,12,FALSE),"")</f>
        <v/>
      </c>
    </row>
    <row r="20">
      <c r="A20" s="5">
        <f>IF(B20="","","OCC-"&amp;TEXT(ROW()-1,"0000"))</f>
        <v/>
      </c>
      <c r="C20" s="5">
        <f>IFERROR(VLOOKUP(B20,Customers!A:B,2,FALSE),"")</f>
        <v/>
      </c>
      <c r="I20" s="5">
        <f>IFERROR(VLOOKUP(B20,Customers!A:L,12,FALSE),"")</f>
        <v/>
      </c>
    </row>
    <row r="21">
      <c r="A21" s="5">
        <f>IF(B21="","","OCC-"&amp;TEXT(ROW()-1,"0000"))</f>
        <v/>
      </c>
      <c r="C21" s="5">
        <f>IFERROR(VLOOKUP(B21,Customers!A:B,2,FALSE),"")</f>
        <v/>
      </c>
      <c r="I21" s="5">
        <f>IFERROR(VLOOKUP(B21,Customers!A:L,12,FALSE),"")</f>
        <v/>
      </c>
    </row>
    <row r="22">
      <c r="A22" s="5">
        <f>IF(B22="","","OCC-"&amp;TEXT(ROW()-1,"0000"))</f>
        <v/>
      </c>
      <c r="C22" s="5">
        <f>IFERROR(VLOOKUP(B22,Customers!A:B,2,FALSE),"")</f>
        <v/>
      </c>
      <c r="I22" s="5">
        <f>IFERROR(VLOOKUP(B22,Customers!A:L,12,FALSE),"")</f>
        <v/>
      </c>
    </row>
    <row r="23">
      <c r="A23" s="5">
        <f>IF(B23="","","OCC-"&amp;TEXT(ROW()-1,"0000"))</f>
        <v/>
      </c>
      <c r="C23" s="5">
        <f>IFERROR(VLOOKUP(B23,Customers!A:B,2,FALSE),"")</f>
        <v/>
      </c>
      <c r="I23" s="5">
        <f>IFERROR(VLOOKUP(B23,Customers!A:L,12,FALSE),"")</f>
        <v/>
      </c>
    </row>
    <row r="24">
      <c r="A24" s="5">
        <f>IF(B24="","","OCC-"&amp;TEXT(ROW()-1,"0000"))</f>
        <v/>
      </c>
      <c r="C24" s="5">
        <f>IFERROR(VLOOKUP(B24,Customers!A:B,2,FALSE),"")</f>
        <v/>
      </c>
      <c r="I24" s="5">
        <f>IFERROR(VLOOKUP(B24,Customers!A:L,12,FALSE),"")</f>
        <v/>
      </c>
    </row>
    <row r="25">
      <c r="A25" s="5">
        <f>IF(B25="","","OCC-"&amp;TEXT(ROW()-1,"0000"))</f>
        <v/>
      </c>
      <c r="C25" s="5">
        <f>IFERROR(VLOOKUP(B25,Customers!A:B,2,FALSE),"")</f>
        <v/>
      </c>
      <c r="I25" s="5">
        <f>IFERROR(VLOOKUP(B25,Customers!A:L,12,FALSE),"")</f>
        <v/>
      </c>
    </row>
    <row r="26">
      <c r="A26" s="5">
        <f>IF(B26="","","OCC-"&amp;TEXT(ROW()-1,"0000"))</f>
        <v/>
      </c>
      <c r="C26" s="5">
        <f>IFERROR(VLOOKUP(B26,Customers!A:B,2,FALSE),"")</f>
        <v/>
      </c>
      <c r="I26" s="5">
        <f>IFERROR(VLOOKUP(B26,Customers!A:L,12,FALSE),"")</f>
        <v/>
      </c>
    </row>
    <row r="27">
      <c r="A27" s="5">
        <f>IF(B27="","","OCC-"&amp;TEXT(ROW()-1,"0000"))</f>
        <v/>
      </c>
      <c r="C27" s="5">
        <f>IFERROR(VLOOKUP(B27,Customers!A:B,2,FALSE),"")</f>
        <v/>
      </c>
      <c r="I27" s="5">
        <f>IFERROR(VLOOKUP(B27,Customers!A:L,12,FALSE),"")</f>
        <v/>
      </c>
    </row>
    <row r="28">
      <c r="A28" s="5">
        <f>IF(B28="","","OCC-"&amp;TEXT(ROW()-1,"0000"))</f>
        <v/>
      </c>
      <c r="C28" s="5">
        <f>IFERROR(VLOOKUP(B28,Customers!A:B,2,FALSE),"")</f>
        <v/>
      </c>
      <c r="I28" s="5">
        <f>IFERROR(VLOOKUP(B28,Customers!A:L,12,FALSE),"")</f>
        <v/>
      </c>
    </row>
    <row r="29">
      <c r="A29" s="5">
        <f>IF(B29="","","OCC-"&amp;TEXT(ROW()-1,"0000"))</f>
        <v/>
      </c>
      <c r="C29" s="5">
        <f>IFERROR(VLOOKUP(B29,Customers!A:B,2,FALSE),"")</f>
        <v/>
      </c>
      <c r="I29" s="5">
        <f>IFERROR(VLOOKUP(B29,Customers!A:L,12,FALSE),"")</f>
        <v/>
      </c>
    </row>
    <row r="30">
      <c r="A30" s="5">
        <f>IF(B30="","","OCC-"&amp;TEXT(ROW()-1,"0000"))</f>
        <v/>
      </c>
      <c r="C30" s="5">
        <f>IFERROR(VLOOKUP(B30,Customers!A:B,2,FALSE),"")</f>
        <v/>
      </c>
      <c r="I30" s="5">
        <f>IFERROR(VLOOKUP(B30,Customers!A:L,12,FALSE),"")</f>
        <v/>
      </c>
    </row>
    <row r="31">
      <c r="A31" s="5">
        <f>IF(B31="","","OCC-"&amp;TEXT(ROW()-1,"0000"))</f>
        <v/>
      </c>
      <c r="C31" s="5">
        <f>IFERROR(VLOOKUP(B31,Customers!A:B,2,FALSE),"")</f>
        <v/>
      </c>
      <c r="I31" s="5">
        <f>IFERROR(VLOOKUP(B31,Customers!A:L,12,FALSE),"")</f>
        <v/>
      </c>
    </row>
    <row r="32">
      <c r="A32" s="5">
        <f>IF(B32="","","OCC-"&amp;TEXT(ROW()-1,"0000"))</f>
        <v/>
      </c>
      <c r="C32" s="5">
        <f>IFERROR(VLOOKUP(B32,Customers!A:B,2,FALSE),"")</f>
        <v/>
      </c>
      <c r="I32" s="5">
        <f>IFERROR(VLOOKUP(B32,Customers!A:L,12,FALSE),"")</f>
        <v/>
      </c>
    </row>
    <row r="33">
      <c r="A33" s="5">
        <f>IF(B33="","","OCC-"&amp;TEXT(ROW()-1,"0000"))</f>
        <v/>
      </c>
      <c r="C33" s="5">
        <f>IFERROR(VLOOKUP(B33,Customers!A:B,2,FALSE),"")</f>
        <v/>
      </c>
      <c r="I33" s="5">
        <f>IFERROR(VLOOKUP(B33,Customers!A:L,12,FALSE),"")</f>
        <v/>
      </c>
    </row>
    <row r="34">
      <c r="A34" s="5">
        <f>IF(B34="","","OCC-"&amp;TEXT(ROW()-1,"0000"))</f>
        <v/>
      </c>
      <c r="C34" s="5">
        <f>IFERROR(VLOOKUP(B34,Customers!A:B,2,FALSE),"")</f>
        <v/>
      </c>
      <c r="I34" s="5">
        <f>IFERROR(VLOOKUP(B34,Customers!A:L,12,FALSE),"")</f>
        <v/>
      </c>
    </row>
    <row r="35">
      <c r="A35" s="5">
        <f>IF(B35="","","OCC-"&amp;TEXT(ROW()-1,"0000"))</f>
        <v/>
      </c>
      <c r="C35" s="5">
        <f>IFERROR(VLOOKUP(B35,Customers!A:B,2,FALSE),"")</f>
        <v/>
      </c>
      <c r="I35" s="5">
        <f>IFERROR(VLOOKUP(B35,Customers!A:L,12,FALSE),"")</f>
        <v/>
      </c>
    </row>
    <row r="36">
      <c r="A36" s="5">
        <f>IF(B36="","","OCC-"&amp;TEXT(ROW()-1,"0000"))</f>
        <v/>
      </c>
      <c r="C36" s="5">
        <f>IFERROR(VLOOKUP(B36,Customers!A:B,2,FALSE),"")</f>
        <v/>
      </c>
      <c r="I36" s="5">
        <f>IFERROR(VLOOKUP(B36,Customers!A:L,12,FALSE),"")</f>
        <v/>
      </c>
    </row>
    <row r="37">
      <c r="A37" s="5">
        <f>IF(B37="","","OCC-"&amp;TEXT(ROW()-1,"0000"))</f>
        <v/>
      </c>
      <c r="C37" s="5">
        <f>IFERROR(VLOOKUP(B37,Customers!A:B,2,FALSE),"")</f>
        <v/>
      </c>
      <c r="I37" s="5">
        <f>IFERROR(VLOOKUP(B37,Customers!A:L,12,FALSE),"")</f>
        <v/>
      </c>
    </row>
    <row r="38">
      <c r="A38" s="5">
        <f>IF(B38="","","OCC-"&amp;TEXT(ROW()-1,"0000"))</f>
        <v/>
      </c>
      <c r="C38" s="5">
        <f>IFERROR(VLOOKUP(B38,Customers!A:B,2,FALSE),"")</f>
        <v/>
      </c>
      <c r="I38" s="5">
        <f>IFERROR(VLOOKUP(B38,Customers!A:L,12,FALSE),"")</f>
        <v/>
      </c>
    </row>
    <row r="39">
      <c r="A39" s="5">
        <f>IF(B39="","","OCC-"&amp;TEXT(ROW()-1,"0000"))</f>
        <v/>
      </c>
      <c r="C39" s="5">
        <f>IFERROR(VLOOKUP(B39,Customers!A:B,2,FALSE),"")</f>
        <v/>
      </c>
      <c r="I39" s="5">
        <f>IFERROR(VLOOKUP(B39,Customers!A:L,12,FALSE),"")</f>
        <v/>
      </c>
    </row>
    <row r="40">
      <c r="A40" s="5">
        <f>IF(B40="","","OCC-"&amp;TEXT(ROW()-1,"0000"))</f>
        <v/>
      </c>
      <c r="C40" s="5">
        <f>IFERROR(VLOOKUP(B40,Customers!A:B,2,FALSE),"")</f>
        <v/>
      </c>
      <c r="I40" s="5">
        <f>IFERROR(VLOOKUP(B40,Customers!A:L,12,FALSE),"")</f>
        <v/>
      </c>
    </row>
    <row r="41">
      <c r="A41" s="5">
        <f>IF(B41="","","OCC-"&amp;TEXT(ROW()-1,"0000"))</f>
        <v/>
      </c>
      <c r="C41" s="5">
        <f>IFERROR(VLOOKUP(B41,Customers!A:B,2,FALSE),"")</f>
        <v/>
      </c>
      <c r="I41" s="5">
        <f>IFERROR(VLOOKUP(B41,Customers!A:L,12,FALSE),"")</f>
        <v/>
      </c>
    </row>
    <row r="42">
      <c r="A42" s="5">
        <f>IF(B42="","","OCC-"&amp;TEXT(ROW()-1,"0000"))</f>
        <v/>
      </c>
      <c r="C42" s="5">
        <f>IFERROR(VLOOKUP(B42,Customers!A:B,2,FALSE),"")</f>
        <v/>
      </c>
      <c r="I42" s="5">
        <f>IFERROR(VLOOKUP(B42,Customers!A:L,12,FALSE),"")</f>
        <v/>
      </c>
    </row>
    <row r="43">
      <c r="A43" s="5">
        <f>IF(B43="","","OCC-"&amp;TEXT(ROW()-1,"0000"))</f>
        <v/>
      </c>
      <c r="C43" s="5">
        <f>IFERROR(VLOOKUP(B43,Customers!A:B,2,FALSE),"")</f>
        <v/>
      </c>
      <c r="I43" s="5">
        <f>IFERROR(VLOOKUP(B43,Customers!A:L,12,FALSE),"")</f>
        <v/>
      </c>
    </row>
    <row r="44">
      <c r="A44" s="5">
        <f>IF(B44="","","OCC-"&amp;TEXT(ROW()-1,"0000"))</f>
        <v/>
      </c>
      <c r="C44" s="5">
        <f>IFERROR(VLOOKUP(B44,Customers!A:B,2,FALSE),"")</f>
        <v/>
      </c>
      <c r="I44" s="5">
        <f>IFERROR(VLOOKUP(B44,Customers!A:L,12,FALSE),"")</f>
        <v/>
      </c>
    </row>
    <row r="45">
      <c r="A45" s="5">
        <f>IF(B45="","","OCC-"&amp;TEXT(ROW()-1,"0000"))</f>
        <v/>
      </c>
      <c r="C45" s="5">
        <f>IFERROR(VLOOKUP(B45,Customers!A:B,2,FALSE),"")</f>
        <v/>
      </c>
      <c r="I45" s="5">
        <f>IFERROR(VLOOKUP(B45,Customers!A:L,12,FALSE),"")</f>
        <v/>
      </c>
    </row>
    <row r="46">
      <c r="A46" s="5">
        <f>IF(B46="","","OCC-"&amp;TEXT(ROW()-1,"0000"))</f>
        <v/>
      </c>
      <c r="C46" s="5">
        <f>IFERROR(VLOOKUP(B46,Customers!A:B,2,FALSE),"")</f>
        <v/>
      </c>
      <c r="I46" s="5">
        <f>IFERROR(VLOOKUP(B46,Customers!A:L,12,FALSE),"")</f>
        <v/>
      </c>
    </row>
    <row r="47">
      <c r="A47" s="5">
        <f>IF(B47="","","OCC-"&amp;TEXT(ROW()-1,"0000"))</f>
        <v/>
      </c>
      <c r="C47" s="5">
        <f>IFERROR(VLOOKUP(B47,Customers!A:B,2,FALSE),"")</f>
        <v/>
      </c>
      <c r="I47" s="5">
        <f>IFERROR(VLOOKUP(B47,Customers!A:L,12,FALSE),"")</f>
        <v/>
      </c>
    </row>
    <row r="48">
      <c r="A48" s="5">
        <f>IF(B48="","","OCC-"&amp;TEXT(ROW()-1,"0000"))</f>
        <v/>
      </c>
      <c r="C48" s="5">
        <f>IFERROR(VLOOKUP(B48,Customers!A:B,2,FALSE),"")</f>
        <v/>
      </c>
      <c r="I48" s="5">
        <f>IFERROR(VLOOKUP(B48,Customers!A:L,12,FALSE),"")</f>
        <v/>
      </c>
    </row>
    <row r="49">
      <c r="A49" s="5">
        <f>IF(B49="","","OCC-"&amp;TEXT(ROW()-1,"0000"))</f>
        <v/>
      </c>
      <c r="C49" s="5">
        <f>IFERROR(VLOOKUP(B49,Customers!A:B,2,FALSE),"")</f>
        <v/>
      </c>
      <c r="I49" s="5">
        <f>IFERROR(VLOOKUP(B49,Customers!A:L,12,FALSE),"")</f>
        <v/>
      </c>
    </row>
    <row r="50">
      <c r="A50" s="5">
        <f>IF(B50="","","OCC-"&amp;TEXT(ROW()-1,"0000"))</f>
        <v/>
      </c>
      <c r="C50" s="5">
        <f>IFERROR(VLOOKUP(B50,Customers!A:B,2,FALSE),"")</f>
        <v/>
      </c>
      <c r="I50" s="5">
        <f>IFERROR(VLOOKUP(B50,Customers!A:L,12,FALSE),"")</f>
        <v/>
      </c>
    </row>
    <row r="51">
      <c r="A51" s="5">
        <f>IF(B51="","","OCC-"&amp;TEXT(ROW()-1,"0000"))</f>
        <v/>
      </c>
      <c r="C51" s="5">
        <f>IFERROR(VLOOKUP(B51,Customers!A:B,2,FALSE),"")</f>
        <v/>
      </c>
      <c r="I51" s="5">
        <f>IFERROR(VLOOKUP(B51,Customers!A:L,12,FALSE),"")</f>
        <v/>
      </c>
    </row>
    <row r="52">
      <c r="A52" s="5">
        <f>IF(B52="","","OCC-"&amp;TEXT(ROW()-1,"0000"))</f>
        <v/>
      </c>
      <c r="C52" s="5">
        <f>IFERROR(VLOOKUP(B52,Customers!A:B,2,FALSE),"")</f>
        <v/>
      </c>
      <c r="I52" s="5">
        <f>IFERROR(VLOOKUP(B52,Customers!A:L,12,FALSE),"")</f>
        <v/>
      </c>
    </row>
    <row r="53">
      <c r="A53" s="5">
        <f>IF(B53="","","OCC-"&amp;TEXT(ROW()-1,"0000"))</f>
        <v/>
      </c>
      <c r="C53" s="5">
        <f>IFERROR(VLOOKUP(B53,Customers!A:B,2,FALSE),"")</f>
        <v/>
      </c>
      <c r="I53" s="5">
        <f>IFERROR(VLOOKUP(B53,Customers!A:L,12,FALSE),"")</f>
        <v/>
      </c>
    </row>
    <row r="54">
      <c r="A54" s="5">
        <f>IF(B54="","","OCC-"&amp;TEXT(ROW()-1,"0000"))</f>
        <v/>
      </c>
      <c r="C54" s="5">
        <f>IFERROR(VLOOKUP(B54,Customers!A:B,2,FALSE),"")</f>
        <v/>
      </c>
      <c r="I54" s="5">
        <f>IFERROR(VLOOKUP(B54,Customers!A:L,12,FALSE),"")</f>
        <v/>
      </c>
    </row>
    <row r="55">
      <c r="A55" s="5">
        <f>IF(B55="","","OCC-"&amp;TEXT(ROW()-1,"0000"))</f>
        <v/>
      </c>
      <c r="C55" s="5">
        <f>IFERROR(VLOOKUP(B55,Customers!A:B,2,FALSE),"")</f>
        <v/>
      </c>
      <c r="I55" s="5">
        <f>IFERROR(VLOOKUP(B55,Customers!A:L,12,FALSE),"")</f>
        <v/>
      </c>
    </row>
    <row r="56">
      <c r="A56" s="5">
        <f>IF(B56="","","OCC-"&amp;TEXT(ROW()-1,"0000"))</f>
        <v/>
      </c>
      <c r="C56" s="5">
        <f>IFERROR(VLOOKUP(B56,Customers!A:B,2,FALSE),"")</f>
        <v/>
      </c>
      <c r="I56" s="5">
        <f>IFERROR(VLOOKUP(B56,Customers!A:L,12,FALSE),"")</f>
        <v/>
      </c>
    </row>
    <row r="57">
      <c r="A57" s="5">
        <f>IF(B57="","","OCC-"&amp;TEXT(ROW()-1,"0000"))</f>
        <v/>
      </c>
      <c r="C57" s="5">
        <f>IFERROR(VLOOKUP(B57,Customers!A:B,2,FALSE),"")</f>
        <v/>
      </c>
      <c r="I57" s="5">
        <f>IFERROR(VLOOKUP(B57,Customers!A:L,12,FALSE),"")</f>
        <v/>
      </c>
    </row>
    <row r="58">
      <c r="A58" s="5">
        <f>IF(B58="","","OCC-"&amp;TEXT(ROW()-1,"0000"))</f>
        <v/>
      </c>
      <c r="C58" s="5">
        <f>IFERROR(VLOOKUP(B58,Customers!A:B,2,FALSE),"")</f>
        <v/>
      </c>
      <c r="I58" s="5">
        <f>IFERROR(VLOOKUP(B58,Customers!A:L,12,FALSE),"")</f>
        <v/>
      </c>
    </row>
    <row r="59">
      <c r="A59" s="5">
        <f>IF(B59="","","OCC-"&amp;TEXT(ROW()-1,"0000"))</f>
        <v/>
      </c>
      <c r="C59" s="5">
        <f>IFERROR(VLOOKUP(B59,Customers!A:B,2,FALSE),"")</f>
        <v/>
      </c>
      <c r="I59" s="5">
        <f>IFERROR(VLOOKUP(B59,Customers!A:L,12,FALSE),"")</f>
        <v/>
      </c>
    </row>
    <row r="60">
      <c r="A60" s="5">
        <f>IF(B60="","","OCC-"&amp;TEXT(ROW()-1,"0000"))</f>
        <v/>
      </c>
      <c r="C60" s="5">
        <f>IFERROR(VLOOKUP(B60,Customers!A:B,2,FALSE),"")</f>
        <v/>
      </c>
      <c r="I60" s="5">
        <f>IFERROR(VLOOKUP(B60,Customers!A:L,12,FALSE),"")</f>
        <v/>
      </c>
    </row>
    <row r="61">
      <c r="A61" s="5">
        <f>IF(B61="","","OCC-"&amp;TEXT(ROW()-1,"0000"))</f>
        <v/>
      </c>
      <c r="C61" s="5">
        <f>IFERROR(VLOOKUP(B61,Customers!A:B,2,FALSE),"")</f>
        <v/>
      </c>
      <c r="I61" s="5">
        <f>IFERROR(VLOOKUP(B61,Customers!A:L,12,FALSE),"")</f>
        <v/>
      </c>
    </row>
    <row r="62">
      <c r="A62" s="5">
        <f>IF(B62="","","OCC-"&amp;TEXT(ROW()-1,"0000"))</f>
        <v/>
      </c>
      <c r="C62" s="5">
        <f>IFERROR(VLOOKUP(B62,Customers!A:B,2,FALSE),"")</f>
        <v/>
      </c>
      <c r="I62" s="5">
        <f>IFERROR(VLOOKUP(B62,Customers!A:L,12,FALSE),"")</f>
        <v/>
      </c>
    </row>
    <row r="63">
      <c r="A63" s="5">
        <f>IF(B63="","","OCC-"&amp;TEXT(ROW()-1,"0000"))</f>
        <v/>
      </c>
      <c r="C63" s="5">
        <f>IFERROR(VLOOKUP(B63,Customers!A:B,2,FALSE),"")</f>
        <v/>
      </c>
      <c r="I63" s="5">
        <f>IFERROR(VLOOKUP(B63,Customers!A:L,12,FALSE),"")</f>
        <v/>
      </c>
    </row>
    <row r="64">
      <c r="A64" s="5">
        <f>IF(B64="","","OCC-"&amp;TEXT(ROW()-1,"0000"))</f>
        <v/>
      </c>
      <c r="C64" s="5">
        <f>IFERROR(VLOOKUP(B64,Customers!A:B,2,FALSE),"")</f>
        <v/>
      </c>
      <c r="I64" s="5">
        <f>IFERROR(VLOOKUP(B64,Customers!A:L,12,FALSE),"")</f>
        <v/>
      </c>
    </row>
    <row r="65">
      <c r="A65" s="5">
        <f>IF(B65="","","OCC-"&amp;TEXT(ROW()-1,"0000"))</f>
        <v/>
      </c>
      <c r="C65" s="5">
        <f>IFERROR(VLOOKUP(B65,Customers!A:B,2,FALSE),"")</f>
        <v/>
      </c>
      <c r="I65" s="5">
        <f>IFERROR(VLOOKUP(B65,Customers!A:L,12,FALSE),"")</f>
        <v/>
      </c>
    </row>
    <row r="66">
      <c r="A66" s="5">
        <f>IF(B66="","","OCC-"&amp;TEXT(ROW()-1,"0000"))</f>
        <v/>
      </c>
      <c r="C66" s="5">
        <f>IFERROR(VLOOKUP(B66,Customers!A:B,2,FALSE),"")</f>
        <v/>
      </c>
      <c r="I66" s="5">
        <f>IFERROR(VLOOKUP(B66,Customers!A:L,12,FALSE),"")</f>
        <v/>
      </c>
    </row>
    <row r="67">
      <c r="A67" s="5">
        <f>IF(B67="","","OCC-"&amp;TEXT(ROW()-1,"0000"))</f>
        <v/>
      </c>
      <c r="C67" s="5">
        <f>IFERROR(VLOOKUP(B67,Customers!A:B,2,FALSE),"")</f>
        <v/>
      </c>
      <c r="I67" s="5">
        <f>IFERROR(VLOOKUP(B67,Customers!A:L,12,FALSE),"")</f>
        <v/>
      </c>
    </row>
    <row r="68">
      <c r="A68" s="5">
        <f>IF(B68="","","OCC-"&amp;TEXT(ROW()-1,"0000"))</f>
        <v/>
      </c>
      <c r="C68" s="5">
        <f>IFERROR(VLOOKUP(B68,Customers!A:B,2,FALSE),"")</f>
        <v/>
      </c>
      <c r="I68" s="5">
        <f>IFERROR(VLOOKUP(B68,Customers!A:L,12,FALSE),"")</f>
        <v/>
      </c>
    </row>
    <row r="69">
      <c r="A69" s="5">
        <f>IF(B69="","","OCC-"&amp;TEXT(ROW()-1,"0000"))</f>
        <v/>
      </c>
      <c r="C69" s="5">
        <f>IFERROR(VLOOKUP(B69,Customers!A:B,2,FALSE),"")</f>
        <v/>
      </c>
      <c r="I69" s="5">
        <f>IFERROR(VLOOKUP(B69,Customers!A:L,12,FALSE),"")</f>
        <v/>
      </c>
    </row>
    <row r="70">
      <c r="A70" s="5">
        <f>IF(B70="","","OCC-"&amp;TEXT(ROW()-1,"0000"))</f>
        <v/>
      </c>
      <c r="C70" s="5">
        <f>IFERROR(VLOOKUP(B70,Customers!A:B,2,FALSE),"")</f>
        <v/>
      </c>
      <c r="I70" s="5">
        <f>IFERROR(VLOOKUP(B70,Customers!A:L,12,FALSE),"")</f>
        <v/>
      </c>
    </row>
    <row r="71">
      <c r="A71" s="5">
        <f>IF(B71="","","OCC-"&amp;TEXT(ROW()-1,"0000"))</f>
        <v/>
      </c>
      <c r="C71" s="5">
        <f>IFERROR(VLOOKUP(B71,Customers!A:B,2,FALSE),"")</f>
        <v/>
      </c>
      <c r="I71" s="5">
        <f>IFERROR(VLOOKUP(B71,Customers!A:L,12,FALSE),"")</f>
        <v/>
      </c>
    </row>
    <row r="72">
      <c r="A72" s="5">
        <f>IF(B72="","","OCC-"&amp;TEXT(ROW()-1,"0000"))</f>
        <v/>
      </c>
      <c r="C72" s="5">
        <f>IFERROR(VLOOKUP(B72,Customers!A:B,2,FALSE),"")</f>
        <v/>
      </c>
      <c r="I72" s="5">
        <f>IFERROR(VLOOKUP(B72,Customers!A:L,12,FALSE),"")</f>
        <v/>
      </c>
    </row>
    <row r="73">
      <c r="A73" s="5">
        <f>IF(B73="","","OCC-"&amp;TEXT(ROW()-1,"0000"))</f>
        <v/>
      </c>
      <c r="C73" s="5">
        <f>IFERROR(VLOOKUP(B73,Customers!A:B,2,FALSE),"")</f>
        <v/>
      </c>
      <c r="I73" s="5">
        <f>IFERROR(VLOOKUP(B73,Customers!A:L,12,FALSE),"")</f>
        <v/>
      </c>
    </row>
    <row r="74">
      <c r="A74" s="5">
        <f>IF(B74="","","OCC-"&amp;TEXT(ROW()-1,"0000"))</f>
        <v/>
      </c>
      <c r="C74" s="5">
        <f>IFERROR(VLOOKUP(B74,Customers!A:B,2,FALSE),"")</f>
        <v/>
      </c>
      <c r="I74" s="5">
        <f>IFERROR(VLOOKUP(B74,Customers!A:L,12,FALSE),"")</f>
        <v/>
      </c>
    </row>
    <row r="75">
      <c r="A75" s="5">
        <f>IF(B75="","","OCC-"&amp;TEXT(ROW()-1,"0000"))</f>
        <v/>
      </c>
      <c r="C75" s="5">
        <f>IFERROR(VLOOKUP(B75,Customers!A:B,2,FALSE),"")</f>
        <v/>
      </c>
      <c r="I75" s="5">
        <f>IFERROR(VLOOKUP(B75,Customers!A:L,12,FALSE),"")</f>
        <v/>
      </c>
    </row>
    <row r="76">
      <c r="A76" s="5">
        <f>IF(B76="","","OCC-"&amp;TEXT(ROW()-1,"0000"))</f>
        <v/>
      </c>
      <c r="C76" s="5">
        <f>IFERROR(VLOOKUP(B76,Customers!A:B,2,FALSE),"")</f>
        <v/>
      </c>
      <c r="I76" s="5">
        <f>IFERROR(VLOOKUP(B76,Customers!A:L,12,FALSE),"")</f>
        <v/>
      </c>
    </row>
    <row r="77">
      <c r="A77" s="5">
        <f>IF(B77="","","OCC-"&amp;TEXT(ROW()-1,"0000"))</f>
        <v/>
      </c>
      <c r="C77" s="5">
        <f>IFERROR(VLOOKUP(B77,Customers!A:B,2,FALSE),"")</f>
        <v/>
      </c>
      <c r="I77" s="5">
        <f>IFERROR(VLOOKUP(B77,Customers!A:L,12,FALSE),"")</f>
        <v/>
      </c>
    </row>
    <row r="78">
      <c r="A78" s="5">
        <f>IF(B78="","","OCC-"&amp;TEXT(ROW()-1,"0000"))</f>
        <v/>
      </c>
      <c r="C78" s="5">
        <f>IFERROR(VLOOKUP(B78,Customers!A:B,2,FALSE),"")</f>
        <v/>
      </c>
      <c r="I78" s="5">
        <f>IFERROR(VLOOKUP(B78,Customers!A:L,12,FALSE),"")</f>
        <v/>
      </c>
    </row>
    <row r="79">
      <c r="A79" s="5">
        <f>IF(B79="","","OCC-"&amp;TEXT(ROW()-1,"0000"))</f>
        <v/>
      </c>
      <c r="C79" s="5">
        <f>IFERROR(VLOOKUP(B79,Customers!A:B,2,FALSE),"")</f>
        <v/>
      </c>
      <c r="I79" s="5">
        <f>IFERROR(VLOOKUP(B79,Customers!A:L,12,FALSE),"")</f>
        <v/>
      </c>
    </row>
    <row r="80">
      <c r="A80" s="5">
        <f>IF(B80="","","OCC-"&amp;TEXT(ROW()-1,"0000"))</f>
        <v/>
      </c>
      <c r="C80" s="5">
        <f>IFERROR(VLOOKUP(B80,Customers!A:B,2,FALSE),"")</f>
        <v/>
      </c>
      <c r="I80" s="5">
        <f>IFERROR(VLOOKUP(B80,Customers!A:L,12,FALSE),"")</f>
        <v/>
      </c>
    </row>
    <row r="81">
      <c r="A81" s="5">
        <f>IF(B81="","","OCC-"&amp;TEXT(ROW()-1,"0000"))</f>
        <v/>
      </c>
      <c r="C81" s="5">
        <f>IFERROR(VLOOKUP(B81,Customers!A:B,2,FALSE),"")</f>
        <v/>
      </c>
      <c r="I81" s="5">
        <f>IFERROR(VLOOKUP(B81,Customers!A:L,12,FALSE),"")</f>
        <v/>
      </c>
    </row>
    <row r="82">
      <c r="A82" s="5">
        <f>IF(B82="","","OCC-"&amp;TEXT(ROW()-1,"0000"))</f>
        <v/>
      </c>
      <c r="C82" s="5">
        <f>IFERROR(VLOOKUP(B82,Customers!A:B,2,FALSE),"")</f>
        <v/>
      </c>
      <c r="I82" s="5">
        <f>IFERROR(VLOOKUP(B82,Customers!A:L,12,FALSE),"")</f>
        <v/>
      </c>
    </row>
    <row r="83">
      <c r="A83" s="5">
        <f>IF(B83="","","OCC-"&amp;TEXT(ROW()-1,"0000"))</f>
        <v/>
      </c>
      <c r="C83" s="5">
        <f>IFERROR(VLOOKUP(B83,Customers!A:B,2,FALSE),"")</f>
        <v/>
      </c>
      <c r="I83" s="5">
        <f>IFERROR(VLOOKUP(B83,Customers!A:L,12,FALSE),"")</f>
        <v/>
      </c>
    </row>
    <row r="84">
      <c r="A84" s="5">
        <f>IF(B84="","","OCC-"&amp;TEXT(ROW()-1,"0000"))</f>
        <v/>
      </c>
      <c r="C84" s="5">
        <f>IFERROR(VLOOKUP(B84,Customers!A:B,2,FALSE),"")</f>
        <v/>
      </c>
      <c r="I84" s="5">
        <f>IFERROR(VLOOKUP(B84,Customers!A:L,12,FALSE),"")</f>
        <v/>
      </c>
    </row>
    <row r="85">
      <c r="A85" s="5">
        <f>IF(B85="","","OCC-"&amp;TEXT(ROW()-1,"0000"))</f>
        <v/>
      </c>
      <c r="C85" s="5">
        <f>IFERROR(VLOOKUP(B85,Customers!A:B,2,FALSE),"")</f>
        <v/>
      </c>
      <c r="I85" s="5">
        <f>IFERROR(VLOOKUP(B85,Customers!A:L,12,FALSE),"")</f>
        <v/>
      </c>
    </row>
    <row r="86">
      <c r="A86" s="5">
        <f>IF(B86="","","OCC-"&amp;TEXT(ROW()-1,"0000"))</f>
        <v/>
      </c>
      <c r="C86" s="5">
        <f>IFERROR(VLOOKUP(B86,Customers!A:B,2,FALSE),"")</f>
        <v/>
      </c>
      <c r="I86" s="5">
        <f>IFERROR(VLOOKUP(B86,Customers!A:L,12,FALSE),"")</f>
        <v/>
      </c>
    </row>
    <row r="87">
      <c r="A87" s="5">
        <f>IF(B87="","","OCC-"&amp;TEXT(ROW()-1,"0000"))</f>
        <v/>
      </c>
      <c r="C87" s="5">
        <f>IFERROR(VLOOKUP(B87,Customers!A:B,2,FALSE),"")</f>
        <v/>
      </c>
      <c r="I87" s="5">
        <f>IFERROR(VLOOKUP(B87,Customers!A:L,12,FALSE),"")</f>
        <v/>
      </c>
    </row>
    <row r="88">
      <c r="A88" s="5">
        <f>IF(B88="","","OCC-"&amp;TEXT(ROW()-1,"0000"))</f>
        <v/>
      </c>
      <c r="C88" s="5">
        <f>IFERROR(VLOOKUP(B88,Customers!A:B,2,FALSE),"")</f>
        <v/>
      </c>
      <c r="I88" s="5">
        <f>IFERROR(VLOOKUP(B88,Customers!A:L,12,FALSE),"")</f>
        <v/>
      </c>
    </row>
    <row r="89">
      <c r="A89" s="5">
        <f>IF(B89="","","OCC-"&amp;TEXT(ROW()-1,"0000"))</f>
        <v/>
      </c>
      <c r="C89" s="5">
        <f>IFERROR(VLOOKUP(B89,Customers!A:B,2,FALSE),"")</f>
        <v/>
      </c>
      <c r="I89" s="5">
        <f>IFERROR(VLOOKUP(B89,Customers!A:L,12,FALSE),"")</f>
        <v/>
      </c>
    </row>
    <row r="90">
      <c r="A90" s="5">
        <f>IF(B90="","","OCC-"&amp;TEXT(ROW()-1,"0000"))</f>
        <v/>
      </c>
      <c r="C90" s="5">
        <f>IFERROR(VLOOKUP(B90,Customers!A:B,2,FALSE),"")</f>
        <v/>
      </c>
      <c r="I90" s="5">
        <f>IFERROR(VLOOKUP(B90,Customers!A:L,12,FALSE),"")</f>
        <v/>
      </c>
    </row>
    <row r="91">
      <c r="A91" s="5">
        <f>IF(B91="","","OCC-"&amp;TEXT(ROW()-1,"0000"))</f>
        <v/>
      </c>
      <c r="C91" s="5">
        <f>IFERROR(VLOOKUP(B91,Customers!A:B,2,FALSE),"")</f>
        <v/>
      </c>
      <c r="I91" s="5">
        <f>IFERROR(VLOOKUP(B91,Customers!A:L,12,FALSE),"")</f>
        <v/>
      </c>
    </row>
    <row r="92">
      <c r="A92" s="5">
        <f>IF(B92="","","OCC-"&amp;TEXT(ROW()-1,"0000"))</f>
        <v/>
      </c>
      <c r="C92" s="5">
        <f>IFERROR(VLOOKUP(B92,Customers!A:B,2,FALSE),"")</f>
        <v/>
      </c>
      <c r="I92" s="5">
        <f>IFERROR(VLOOKUP(B92,Customers!A:L,12,FALSE),"")</f>
        <v/>
      </c>
    </row>
    <row r="93">
      <c r="A93" s="5">
        <f>IF(B93="","","OCC-"&amp;TEXT(ROW()-1,"0000"))</f>
        <v/>
      </c>
      <c r="C93" s="5">
        <f>IFERROR(VLOOKUP(B93,Customers!A:B,2,FALSE),"")</f>
        <v/>
      </c>
      <c r="I93" s="5">
        <f>IFERROR(VLOOKUP(B93,Customers!A:L,12,FALSE),"")</f>
        <v/>
      </c>
    </row>
    <row r="94">
      <c r="A94" s="5">
        <f>IF(B94="","","OCC-"&amp;TEXT(ROW()-1,"0000"))</f>
        <v/>
      </c>
      <c r="C94" s="5">
        <f>IFERROR(VLOOKUP(B94,Customers!A:B,2,FALSE),"")</f>
        <v/>
      </c>
      <c r="I94" s="5">
        <f>IFERROR(VLOOKUP(B94,Customers!A:L,12,FALSE),"")</f>
        <v/>
      </c>
    </row>
    <row r="95">
      <c r="A95" s="5">
        <f>IF(B95="","","OCC-"&amp;TEXT(ROW()-1,"0000"))</f>
        <v/>
      </c>
      <c r="C95" s="5">
        <f>IFERROR(VLOOKUP(B95,Customers!A:B,2,FALSE),"")</f>
        <v/>
      </c>
      <c r="I95" s="5">
        <f>IFERROR(VLOOKUP(B95,Customers!A:L,12,FALSE),"")</f>
        <v/>
      </c>
    </row>
    <row r="96">
      <c r="A96" s="5">
        <f>IF(B96="","","OCC-"&amp;TEXT(ROW()-1,"0000"))</f>
        <v/>
      </c>
      <c r="C96" s="5">
        <f>IFERROR(VLOOKUP(B96,Customers!A:B,2,FALSE),"")</f>
        <v/>
      </c>
      <c r="I96" s="5">
        <f>IFERROR(VLOOKUP(B96,Customers!A:L,12,FALSE),"")</f>
        <v/>
      </c>
    </row>
    <row r="97">
      <c r="A97" s="5">
        <f>IF(B97="","","OCC-"&amp;TEXT(ROW()-1,"0000"))</f>
        <v/>
      </c>
      <c r="C97" s="5">
        <f>IFERROR(VLOOKUP(B97,Customers!A:B,2,FALSE),"")</f>
        <v/>
      </c>
      <c r="I97" s="5">
        <f>IFERROR(VLOOKUP(B97,Customers!A:L,12,FALSE),"")</f>
        <v/>
      </c>
    </row>
    <row r="98">
      <c r="A98" s="5">
        <f>IF(B98="","","OCC-"&amp;TEXT(ROW()-1,"0000"))</f>
        <v/>
      </c>
      <c r="C98" s="5">
        <f>IFERROR(VLOOKUP(B98,Customers!A:B,2,FALSE),"")</f>
        <v/>
      </c>
      <c r="I98" s="5">
        <f>IFERROR(VLOOKUP(B98,Customers!A:L,12,FALSE),"")</f>
        <v/>
      </c>
    </row>
    <row r="99">
      <c r="A99" s="5">
        <f>IF(B99="","","OCC-"&amp;TEXT(ROW()-1,"0000"))</f>
        <v/>
      </c>
      <c r="C99" s="5">
        <f>IFERROR(VLOOKUP(B99,Customers!A:B,2,FALSE),"")</f>
        <v/>
      </c>
      <c r="I99" s="5">
        <f>IFERROR(VLOOKUP(B99,Customers!A:L,12,FALSE),"")</f>
        <v/>
      </c>
    </row>
    <row r="100">
      <c r="A100" s="5">
        <f>IF(B100="","","OCC-"&amp;TEXT(ROW()-1,"0000"))</f>
        <v/>
      </c>
      <c r="C100" s="5">
        <f>IFERROR(VLOOKUP(B100,Customers!A:B,2,FALSE),"")</f>
        <v/>
      </c>
      <c r="I100" s="5">
        <f>IFERROR(VLOOKUP(B100,Customers!A:L,12,FALSE),"")</f>
        <v/>
      </c>
    </row>
    <row r="101">
      <c r="A101" s="5">
        <f>IF(B101="","","OCC-"&amp;TEXT(ROW()-1,"0000"))</f>
        <v/>
      </c>
      <c r="C101" s="5">
        <f>IFERROR(VLOOKUP(B101,Customers!A:B,2,FALSE),"")</f>
        <v/>
      </c>
      <c r="I101" s="5">
        <f>IFERROR(VLOOKUP(B101,Customers!A:L,12,FALSE),"")</f>
        <v/>
      </c>
    </row>
    <row r="102">
      <c r="A102" s="5">
        <f>IF(B102="","","OCC-"&amp;TEXT(ROW()-1,"0000"))</f>
        <v/>
      </c>
      <c r="C102" s="5">
        <f>IFERROR(VLOOKUP(B102,Customers!A:B,2,FALSE),"")</f>
        <v/>
      </c>
      <c r="I102" s="5">
        <f>IFERROR(VLOOKUP(B102,Customers!A:L,12,FALSE),"")</f>
        <v/>
      </c>
    </row>
    <row r="103">
      <c r="A103" s="5">
        <f>IF(B103="","","OCC-"&amp;TEXT(ROW()-1,"0000"))</f>
        <v/>
      </c>
      <c r="C103" s="5">
        <f>IFERROR(VLOOKUP(B103,Customers!A:B,2,FALSE),"")</f>
        <v/>
      </c>
      <c r="I103" s="5">
        <f>IFERROR(VLOOKUP(B103,Customers!A:L,12,FALSE),"")</f>
        <v/>
      </c>
    </row>
    <row r="104">
      <c r="A104" s="5">
        <f>IF(B104="","","OCC-"&amp;TEXT(ROW()-1,"0000"))</f>
        <v/>
      </c>
      <c r="C104" s="5">
        <f>IFERROR(VLOOKUP(B104,Customers!A:B,2,FALSE),"")</f>
        <v/>
      </c>
      <c r="I104" s="5">
        <f>IFERROR(VLOOKUP(B104,Customers!A:L,12,FALSE),"")</f>
        <v/>
      </c>
    </row>
    <row r="105">
      <c r="A105" s="5">
        <f>IF(B105="","","OCC-"&amp;TEXT(ROW()-1,"0000"))</f>
        <v/>
      </c>
      <c r="C105" s="5">
        <f>IFERROR(VLOOKUP(B105,Customers!A:B,2,FALSE),"")</f>
        <v/>
      </c>
      <c r="I105" s="5">
        <f>IFERROR(VLOOKUP(B105,Customers!A:L,12,FALSE),"")</f>
        <v/>
      </c>
    </row>
    <row r="106">
      <c r="A106" s="5">
        <f>IF(B106="","","OCC-"&amp;TEXT(ROW()-1,"0000"))</f>
        <v/>
      </c>
      <c r="C106" s="5">
        <f>IFERROR(VLOOKUP(B106,Customers!A:B,2,FALSE),"")</f>
        <v/>
      </c>
      <c r="I106" s="5">
        <f>IFERROR(VLOOKUP(B106,Customers!A:L,12,FALSE),"")</f>
        <v/>
      </c>
    </row>
    <row r="107">
      <c r="A107" s="5">
        <f>IF(B107="","","OCC-"&amp;TEXT(ROW()-1,"0000"))</f>
        <v/>
      </c>
      <c r="C107" s="5">
        <f>IFERROR(VLOOKUP(B107,Customers!A:B,2,FALSE),"")</f>
        <v/>
      </c>
      <c r="I107" s="5">
        <f>IFERROR(VLOOKUP(B107,Customers!A:L,12,FALSE),"")</f>
        <v/>
      </c>
    </row>
    <row r="108">
      <c r="A108" s="5">
        <f>IF(B108="","","OCC-"&amp;TEXT(ROW()-1,"0000"))</f>
        <v/>
      </c>
      <c r="C108" s="5">
        <f>IFERROR(VLOOKUP(B108,Customers!A:B,2,FALSE),"")</f>
        <v/>
      </c>
      <c r="I108" s="5">
        <f>IFERROR(VLOOKUP(B108,Customers!A:L,12,FALSE),"")</f>
        <v/>
      </c>
    </row>
    <row r="109">
      <c r="A109" s="5">
        <f>IF(B109="","","OCC-"&amp;TEXT(ROW()-1,"0000"))</f>
        <v/>
      </c>
      <c r="C109" s="5">
        <f>IFERROR(VLOOKUP(B109,Customers!A:B,2,FALSE),"")</f>
        <v/>
      </c>
      <c r="I109" s="5">
        <f>IFERROR(VLOOKUP(B109,Customers!A:L,12,FALSE),"")</f>
        <v/>
      </c>
    </row>
    <row r="110">
      <c r="A110" s="5">
        <f>IF(B110="","","OCC-"&amp;TEXT(ROW()-1,"0000"))</f>
        <v/>
      </c>
      <c r="C110" s="5">
        <f>IFERROR(VLOOKUP(B110,Customers!A:B,2,FALSE),"")</f>
        <v/>
      </c>
      <c r="I110" s="5">
        <f>IFERROR(VLOOKUP(B110,Customers!A:L,12,FALSE),"")</f>
        <v/>
      </c>
    </row>
    <row r="111">
      <c r="A111" s="5">
        <f>IF(B111="","","OCC-"&amp;TEXT(ROW()-1,"0000"))</f>
        <v/>
      </c>
      <c r="C111" s="5">
        <f>IFERROR(VLOOKUP(B111,Customers!A:B,2,FALSE),"")</f>
        <v/>
      </c>
      <c r="I111" s="5">
        <f>IFERROR(VLOOKUP(B111,Customers!A:L,12,FALSE),"")</f>
        <v/>
      </c>
    </row>
    <row r="112">
      <c r="A112" s="5">
        <f>IF(B112="","","OCC-"&amp;TEXT(ROW()-1,"0000"))</f>
        <v/>
      </c>
      <c r="C112" s="5">
        <f>IFERROR(VLOOKUP(B112,Customers!A:B,2,FALSE),"")</f>
        <v/>
      </c>
      <c r="I112" s="5">
        <f>IFERROR(VLOOKUP(B112,Customers!A:L,12,FALSE),"")</f>
        <v/>
      </c>
    </row>
    <row r="113">
      <c r="A113" s="5">
        <f>IF(B113="","","OCC-"&amp;TEXT(ROW()-1,"0000"))</f>
        <v/>
      </c>
      <c r="C113" s="5">
        <f>IFERROR(VLOOKUP(B113,Customers!A:B,2,FALSE),"")</f>
        <v/>
      </c>
      <c r="I113" s="5">
        <f>IFERROR(VLOOKUP(B113,Customers!A:L,12,FALSE),"")</f>
        <v/>
      </c>
    </row>
    <row r="114">
      <c r="A114" s="5">
        <f>IF(B114="","","OCC-"&amp;TEXT(ROW()-1,"0000"))</f>
        <v/>
      </c>
      <c r="C114" s="5">
        <f>IFERROR(VLOOKUP(B114,Customers!A:B,2,FALSE),"")</f>
        <v/>
      </c>
      <c r="I114" s="5">
        <f>IFERROR(VLOOKUP(B114,Customers!A:L,12,FALSE),"")</f>
        <v/>
      </c>
    </row>
    <row r="115">
      <c r="A115" s="5">
        <f>IF(B115="","","OCC-"&amp;TEXT(ROW()-1,"0000"))</f>
        <v/>
      </c>
      <c r="C115" s="5">
        <f>IFERROR(VLOOKUP(B115,Customers!A:B,2,FALSE),"")</f>
        <v/>
      </c>
      <c r="I115" s="5">
        <f>IFERROR(VLOOKUP(B115,Customers!A:L,12,FALSE),"")</f>
        <v/>
      </c>
    </row>
    <row r="116">
      <c r="A116" s="5">
        <f>IF(B116="","","OCC-"&amp;TEXT(ROW()-1,"0000"))</f>
        <v/>
      </c>
      <c r="C116" s="5">
        <f>IFERROR(VLOOKUP(B116,Customers!A:B,2,FALSE),"")</f>
        <v/>
      </c>
      <c r="I116" s="5">
        <f>IFERROR(VLOOKUP(B116,Customers!A:L,12,FALSE),"")</f>
        <v/>
      </c>
    </row>
    <row r="117">
      <c r="A117" s="5">
        <f>IF(B117="","","OCC-"&amp;TEXT(ROW()-1,"0000"))</f>
        <v/>
      </c>
      <c r="C117" s="5">
        <f>IFERROR(VLOOKUP(B117,Customers!A:B,2,FALSE),"")</f>
        <v/>
      </c>
      <c r="I117" s="5">
        <f>IFERROR(VLOOKUP(B117,Customers!A:L,12,FALSE),"")</f>
        <v/>
      </c>
    </row>
    <row r="118">
      <c r="A118" s="5">
        <f>IF(B118="","","OCC-"&amp;TEXT(ROW()-1,"0000"))</f>
        <v/>
      </c>
      <c r="C118" s="5">
        <f>IFERROR(VLOOKUP(B118,Customers!A:B,2,FALSE),"")</f>
        <v/>
      </c>
      <c r="I118" s="5">
        <f>IFERROR(VLOOKUP(B118,Customers!A:L,12,FALSE),"")</f>
        <v/>
      </c>
    </row>
    <row r="119">
      <c r="A119" s="5">
        <f>IF(B119="","","OCC-"&amp;TEXT(ROW()-1,"0000"))</f>
        <v/>
      </c>
      <c r="C119" s="5">
        <f>IFERROR(VLOOKUP(B119,Customers!A:B,2,FALSE),"")</f>
        <v/>
      </c>
      <c r="I119" s="5">
        <f>IFERROR(VLOOKUP(B119,Customers!A:L,12,FALSE),"")</f>
        <v/>
      </c>
    </row>
    <row r="120">
      <c r="A120" s="5">
        <f>IF(B120="","","OCC-"&amp;TEXT(ROW()-1,"0000"))</f>
        <v/>
      </c>
      <c r="C120" s="5">
        <f>IFERROR(VLOOKUP(B120,Customers!A:B,2,FALSE),"")</f>
        <v/>
      </c>
      <c r="I120" s="5">
        <f>IFERROR(VLOOKUP(B120,Customers!A:L,12,FALSE),"")</f>
        <v/>
      </c>
    </row>
    <row r="121">
      <c r="A121" s="5">
        <f>IF(B121="","","OCC-"&amp;TEXT(ROW()-1,"0000"))</f>
        <v/>
      </c>
      <c r="C121" s="5">
        <f>IFERROR(VLOOKUP(B121,Customers!A:B,2,FALSE),"")</f>
        <v/>
      </c>
      <c r="I121" s="5">
        <f>IFERROR(VLOOKUP(B121,Customers!A:L,12,FALSE),"")</f>
        <v/>
      </c>
    </row>
    <row r="122">
      <c r="A122" s="5">
        <f>IF(B122="","","OCC-"&amp;TEXT(ROW()-1,"0000"))</f>
        <v/>
      </c>
      <c r="C122" s="5">
        <f>IFERROR(VLOOKUP(B122,Customers!A:B,2,FALSE),"")</f>
        <v/>
      </c>
      <c r="I122" s="5">
        <f>IFERROR(VLOOKUP(B122,Customers!A:L,12,FALSE),"")</f>
        <v/>
      </c>
    </row>
    <row r="123">
      <c r="A123" s="5">
        <f>IF(B123="","","OCC-"&amp;TEXT(ROW()-1,"0000"))</f>
        <v/>
      </c>
      <c r="C123" s="5">
        <f>IFERROR(VLOOKUP(B123,Customers!A:B,2,FALSE),"")</f>
        <v/>
      </c>
      <c r="I123" s="5">
        <f>IFERROR(VLOOKUP(B123,Customers!A:L,12,FALSE),"")</f>
        <v/>
      </c>
    </row>
    <row r="124">
      <c r="A124" s="5">
        <f>IF(B124="","","OCC-"&amp;TEXT(ROW()-1,"0000"))</f>
        <v/>
      </c>
      <c r="C124" s="5">
        <f>IFERROR(VLOOKUP(B124,Customers!A:B,2,FALSE),"")</f>
        <v/>
      </c>
      <c r="I124" s="5">
        <f>IFERROR(VLOOKUP(B124,Customers!A:L,12,FALSE),"")</f>
        <v/>
      </c>
    </row>
    <row r="125">
      <c r="A125" s="5">
        <f>IF(B125="","","OCC-"&amp;TEXT(ROW()-1,"0000"))</f>
        <v/>
      </c>
      <c r="C125" s="5">
        <f>IFERROR(VLOOKUP(B125,Customers!A:B,2,FALSE),"")</f>
        <v/>
      </c>
      <c r="I125" s="5">
        <f>IFERROR(VLOOKUP(B125,Customers!A:L,12,FALSE),"")</f>
        <v/>
      </c>
    </row>
    <row r="126">
      <c r="A126" s="5">
        <f>IF(B126="","","OCC-"&amp;TEXT(ROW()-1,"0000"))</f>
        <v/>
      </c>
      <c r="C126" s="5">
        <f>IFERROR(VLOOKUP(B126,Customers!A:B,2,FALSE),"")</f>
        <v/>
      </c>
      <c r="I126" s="5">
        <f>IFERROR(VLOOKUP(B126,Customers!A:L,12,FALSE),"")</f>
        <v/>
      </c>
    </row>
    <row r="127">
      <c r="A127" s="5">
        <f>IF(B127="","","OCC-"&amp;TEXT(ROW()-1,"0000"))</f>
        <v/>
      </c>
      <c r="C127" s="5">
        <f>IFERROR(VLOOKUP(B127,Customers!A:B,2,FALSE),"")</f>
        <v/>
      </c>
      <c r="I127" s="5">
        <f>IFERROR(VLOOKUP(B127,Customers!A:L,12,FALSE),"")</f>
        <v/>
      </c>
    </row>
    <row r="128">
      <c r="A128" s="5">
        <f>IF(B128="","","OCC-"&amp;TEXT(ROW()-1,"0000"))</f>
        <v/>
      </c>
      <c r="C128" s="5">
        <f>IFERROR(VLOOKUP(B128,Customers!A:B,2,FALSE),"")</f>
        <v/>
      </c>
      <c r="I128" s="5">
        <f>IFERROR(VLOOKUP(B128,Customers!A:L,12,FALSE),"")</f>
        <v/>
      </c>
    </row>
    <row r="129">
      <c r="A129" s="5">
        <f>IF(B129="","","OCC-"&amp;TEXT(ROW()-1,"0000"))</f>
        <v/>
      </c>
      <c r="C129" s="5">
        <f>IFERROR(VLOOKUP(B129,Customers!A:B,2,FALSE),"")</f>
        <v/>
      </c>
      <c r="I129" s="5">
        <f>IFERROR(VLOOKUP(B129,Customers!A:L,12,FALSE),"")</f>
        <v/>
      </c>
    </row>
    <row r="130">
      <c r="A130" s="5">
        <f>IF(B130="","","OCC-"&amp;TEXT(ROW()-1,"0000"))</f>
        <v/>
      </c>
      <c r="C130" s="5">
        <f>IFERROR(VLOOKUP(B130,Customers!A:B,2,FALSE),"")</f>
        <v/>
      </c>
      <c r="I130" s="5">
        <f>IFERROR(VLOOKUP(B130,Customers!A:L,12,FALSE),"")</f>
        <v/>
      </c>
    </row>
    <row r="131">
      <c r="A131" s="5">
        <f>IF(B131="","","OCC-"&amp;TEXT(ROW()-1,"0000"))</f>
        <v/>
      </c>
      <c r="C131" s="5">
        <f>IFERROR(VLOOKUP(B131,Customers!A:B,2,FALSE),"")</f>
        <v/>
      </c>
      <c r="I131" s="5">
        <f>IFERROR(VLOOKUP(B131,Customers!A:L,12,FALSE),"")</f>
        <v/>
      </c>
    </row>
    <row r="132">
      <c r="A132" s="5">
        <f>IF(B132="","","OCC-"&amp;TEXT(ROW()-1,"0000"))</f>
        <v/>
      </c>
      <c r="C132" s="5">
        <f>IFERROR(VLOOKUP(B132,Customers!A:B,2,FALSE),"")</f>
        <v/>
      </c>
      <c r="I132" s="5">
        <f>IFERROR(VLOOKUP(B132,Customers!A:L,12,FALSE),"")</f>
        <v/>
      </c>
    </row>
    <row r="133">
      <c r="A133" s="5">
        <f>IF(B133="","","OCC-"&amp;TEXT(ROW()-1,"0000"))</f>
        <v/>
      </c>
      <c r="C133" s="5">
        <f>IFERROR(VLOOKUP(B133,Customers!A:B,2,FALSE),"")</f>
        <v/>
      </c>
      <c r="I133" s="5">
        <f>IFERROR(VLOOKUP(B133,Customers!A:L,12,FALSE),"")</f>
        <v/>
      </c>
    </row>
    <row r="134">
      <c r="A134" s="5">
        <f>IF(B134="","","OCC-"&amp;TEXT(ROW()-1,"0000"))</f>
        <v/>
      </c>
      <c r="C134" s="5">
        <f>IFERROR(VLOOKUP(B134,Customers!A:B,2,FALSE),"")</f>
        <v/>
      </c>
      <c r="I134" s="5">
        <f>IFERROR(VLOOKUP(B134,Customers!A:L,12,FALSE),"")</f>
        <v/>
      </c>
    </row>
    <row r="135">
      <c r="A135" s="5">
        <f>IF(B135="","","OCC-"&amp;TEXT(ROW()-1,"0000"))</f>
        <v/>
      </c>
      <c r="C135" s="5">
        <f>IFERROR(VLOOKUP(B135,Customers!A:B,2,FALSE),"")</f>
        <v/>
      </c>
      <c r="I135" s="5">
        <f>IFERROR(VLOOKUP(B135,Customers!A:L,12,FALSE),"")</f>
        <v/>
      </c>
    </row>
    <row r="136">
      <c r="A136" s="5">
        <f>IF(B136="","","OCC-"&amp;TEXT(ROW()-1,"0000"))</f>
        <v/>
      </c>
      <c r="C136" s="5">
        <f>IFERROR(VLOOKUP(B136,Customers!A:B,2,FALSE),"")</f>
        <v/>
      </c>
      <c r="I136" s="5">
        <f>IFERROR(VLOOKUP(B136,Customers!A:L,12,FALSE),"")</f>
        <v/>
      </c>
    </row>
    <row r="137">
      <c r="A137" s="5">
        <f>IF(B137="","","OCC-"&amp;TEXT(ROW()-1,"0000"))</f>
        <v/>
      </c>
      <c r="C137" s="5">
        <f>IFERROR(VLOOKUP(B137,Customers!A:B,2,FALSE),"")</f>
        <v/>
      </c>
      <c r="I137" s="5">
        <f>IFERROR(VLOOKUP(B137,Customers!A:L,12,FALSE),"")</f>
        <v/>
      </c>
    </row>
    <row r="138">
      <c r="A138" s="5">
        <f>IF(B138="","","OCC-"&amp;TEXT(ROW()-1,"0000"))</f>
        <v/>
      </c>
      <c r="C138" s="5">
        <f>IFERROR(VLOOKUP(B138,Customers!A:B,2,FALSE),"")</f>
        <v/>
      </c>
      <c r="I138" s="5">
        <f>IFERROR(VLOOKUP(B138,Customers!A:L,12,FALSE),"")</f>
        <v/>
      </c>
    </row>
    <row r="139">
      <c r="A139" s="5">
        <f>IF(B139="","","OCC-"&amp;TEXT(ROW()-1,"0000"))</f>
        <v/>
      </c>
      <c r="C139" s="5">
        <f>IFERROR(VLOOKUP(B139,Customers!A:B,2,FALSE),"")</f>
        <v/>
      </c>
      <c r="I139" s="5">
        <f>IFERROR(VLOOKUP(B139,Customers!A:L,12,FALSE),"")</f>
        <v/>
      </c>
    </row>
    <row r="140">
      <c r="A140" s="5">
        <f>IF(B140="","","OCC-"&amp;TEXT(ROW()-1,"0000"))</f>
        <v/>
      </c>
      <c r="C140" s="5">
        <f>IFERROR(VLOOKUP(B140,Customers!A:B,2,FALSE),"")</f>
        <v/>
      </c>
      <c r="I140" s="5">
        <f>IFERROR(VLOOKUP(B140,Customers!A:L,12,FALSE),"")</f>
        <v/>
      </c>
    </row>
    <row r="141">
      <c r="A141" s="5">
        <f>IF(B141="","","OCC-"&amp;TEXT(ROW()-1,"0000"))</f>
        <v/>
      </c>
      <c r="C141" s="5">
        <f>IFERROR(VLOOKUP(B141,Customers!A:B,2,FALSE),"")</f>
        <v/>
      </c>
      <c r="I141" s="5">
        <f>IFERROR(VLOOKUP(B141,Customers!A:L,12,FALSE),"")</f>
        <v/>
      </c>
    </row>
    <row r="142">
      <c r="A142" s="5">
        <f>IF(B142="","","OCC-"&amp;TEXT(ROW()-1,"0000"))</f>
        <v/>
      </c>
      <c r="C142" s="5">
        <f>IFERROR(VLOOKUP(B142,Customers!A:B,2,FALSE),"")</f>
        <v/>
      </c>
      <c r="I142" s="5">
        <f>IFERROR(VLOOKUP(B142,Customers!A:L,12,FALSE),"")</f>
        <v/>
      </c>
    </row>
    <row r="143">
      <c r="A143" s="5">
        <f>IF(B143="","","OCC-"&amp;TEXT(ROW()-1,"0000"))</f>
        <v/>
      </c>
      <c r="C143" s="5">
        <f>IFERROR(VLOOKUP(B143,Customers!A:B,2,FALSE),"")</f>
        <v/>
      </c>
      <c r="I143" s="5">
        <f>IFERROR(VLOOKUP(B143,Customers!A:L,12,FALSE),"")</f>
        <v/>
      </c>
    </row>
    <row r="144">
      <c r="A144" s="5">
        <f>IF(B144="","","OCC-"&amp;TEXT(ROW()-1,"0000"))</f>
        <v/>
      </c>
      <c r="C144" s="5">
        <f>IFERROR(VLOOKUP(B144,Customers!A:B,2,FALSE),"")</f>
        <v/>
      </c>
      <c r="I144" s="5">
        <f>IFERROR(VLOOKUP(B144,Customers!A:L,12,FALSE),"")</f>
        <v/>
      </c>
    </row>
    <row r="145">
      <c r="A145" s="5">
        <f>IF(B145="","","OCC-"&amp;TEXT(ROW()-1,"0000"))</f>
        <v/>
      </c>
      <c r="C145" s="5">
        <f>IFERROR(VLOOKUP(B145,Customers!A:B,2,FALSE),"")</f>
        <v/>
      </c>
      <c r="I145" s="5">
        <f>IFERROR(VLOOKUP(B145,Customers!A:L,12,FALSE),"")</f>
        <v/>
      </c>
    </row>
    <row r="146">
      <c r="A146" s="5">
        <f>IF(B146="","","OCC-"&amp;TEXT(ROW()-1,"0000"))</f>
        <v/>
      </c>
      <c r="C146" s="5">
        <f>IFERROR(VLOOKUP(B146,Customers!A:B,2,FALSE),"")</f>
        <v/>
      </c>
      <c r="I146" s="5">
        <f>IFERROR(VLOOKUP(B146,Customers!A:L,12,FALSE),"")</f>
        <v/>
      </c>
    </row>
    <row r="147">
      <c r="A147" s="5">
        <f>IF(B147="","","OCC-"&amp;TEXT(ROW()-1,"0000"))</f>
        <v/>
      </c>
      <c r="C147" s="5">
        <f>IFERROR(VLOOKUP(B147,Customers!A:B,2,FALSE),"")</f>
        <v/>
      </c>
      <c r="I147" s="5">
        <f>IFERROR(VLOOKUP(B147,Customers!A:L,12,FALSE),"")</f>
        <v/>
      </c>
    </row>
    <row r="148">
      <c r="A148" s="5">
        <f>IF(B148="","","OCC-"&amp;TEXT(ROW()-1,"0000"))</f>
        <v/>
      </c>
      <c r="C148" s="5">
        <f>IFERROR(VLOOKUP(B148,Customers!A:B,2,FALSE),"")</f>
        <v/>
      </c>
      <c r="I148" s="5">
        <f>IFERROR(VLOOKUP(B148,Customers!A:L,12,FALSE),"")</f>
        <v/>
      </c>
    </row>
    <row r="149">
      <c r="A149" s="5">
        <f>IF(B149="","","OCC-"&amp;TEXT(ROW()-1,"0000"))</f>
        <v/>
      </c>
      <c r="C149" s="5">
        <f>IFERROR(VLOOKUP(B149,Customers!A:B,2,FALSE),"")</f>
        <v/>
      </c>
      <c r="I149" s="5">
        <f>IFERROR(VLOOKUP(B149,Customers!A:L,12,FALSE),"")</f>
        <v/>
      </c>
    </row>
    <row r="150">
      <c r="A150" s="5">
        <f>IF(B150="","","OCC-"&amp;TEXT(ROW()-1,"0000"))</f>
        <v/>
      </c>
      <c r="C150" s="5">
        <f>IFERROR(VLOOKUP(B150,Customers!A:B,2,FALSE),"")</f>
        <v/>
      </c>
      <c r="I150" s="5">
        <f>IFERROR(VLOOKUP(B150,Customers!A:L,12,FALSE),"")</f>
        <v/>
      </c>
    </row>
    <row r="151">
      <c r="A151" s="5">
        <f>IF(B151="","","OCC-"&amp;TEXT(ROW()-1,"0000"))</f>
        <v/>
      </c>
      <c r="C151" s="5">
        <f>IFERROR(VLOOKUP(B151,Customers!A:B,2,FALSE),"")</f>
        <v/>
      </c>
      <c r="I151" s="5">
        <f>IFERROR(VLOOKUP(B151,Customers!A:L,12,FALSE),"")</f>
        <v/>
      </c>
    </row>
    <row r="152">
      <c r="A152" s="5">
        <f>IF(B152="","","OCC-"&amp;TEXT(ROW()-1,"0000"))</f>
        <v/>
      </c>
      <c r="C152" s="5">
        <f>IFERROR(VLOOKUP(B152,Customers!A:B,2,FALSE),"")</f>
        <v/>
      </c>
      <c r="I152" s="5">
        <f>IFERROR(VLOOKUP(B152,Customers!A:L,12,FALSE),"")</f>
        <v/>
      </c>
    </row>
    <row r="153">
      <c r="A153" s="5">
        <f>IF(B153="","","OCC-"&amp;TEXT(ROW()-1,"0000"))</f>
        <v/>
      </c>
      <c r="C153" s="5">
        <f>IFERROR(VLOOKUP(B153,Customers!A:B,2,FALSE),"")</f>
        <v/>
      </c>
      <c r="I153" s="5">
        <f>IFERROR(VLOOKUP(B153,Customers!A:L,12,FALSE),"")</f>
        <v/>
      </c>
    </row>
    <row r="154">
      <c r="A154" s="5">
        <f>IF(B154="","","OCC-"&amp;TEXT(ROW()-1,"0000"))</f>
        <v/>
      </c>
      <c r="C154" s="5">
        <f>IFERROR(VLOOKUP(B154,Customers!A:B,2,FALSE),"")</f>
        <v/>
      </c>
      <c r="I154" s="5">
        <f>IFERROR(VLOOKUP(B154,Customers!A:L,12,FALSE),"")</f>
        <v/>
      </c>
    </row>
    <row r="155">
      <c r="A155" s="5">
        <f>IF(B155="","","OCC-"&amp;TEXT(ROW()-1,"0000"))</f>
        <v/>
      </c>
      <c r="C155" s="5">
        <f>IFERROR(VLOOKUP(B155,Customers!A:B,2,FALSE),"")</f>
        <v/>
      </c>
      <c r="I155" s="5">
        <f>IFERROR(VLOOKUP(B155,Customers!A:L,12,FALSE),"")</f>
        <v/>
      </c>
    </row>
    <row r="156">
      <c r="A156" s="5">
        <f>IF(B156="","","OCC-"&amp;TEXT(ROW()-1,"0000"))</f>
        <v/>
      </c>
      <c r="C156" s="5">
        <f>IFERROR(VLOOKUP(B156,Customers!A:B,2,FALSE),"")</f>
        <v/>
      </c>
      <c r="I156" s="5">
        <f>IFERROR(VLOOKUP(B156,Customers!A:L,12,FALSE),"")</f>
        <v/>
      </c>
    </row>
    <row r="157">
      <c r="A157" s="5">
        <f>IF(B157="","","OCC-"&amp;TEXT(ROW()-1,"0000"))</f>
        <v/>
      </c>
      <c r="C157" s="5">
        <f>IFERROR(VLOOKUP(B157,Customers!A:B,2,FALSE),"")</f>
        <v/>
      </c>
      <c r="I157" s="5">
        <f>IFERROR(VLOOKUP(B157,Customers!A:L,12,FALSE),"")</f>
        <v/>
      </c>
    </row>
    <row r="158">
      <c r="A158" s="5">
        <f>IF(B158="","","OCC-"&amp;TEXT(ROW()-1,"0000"))</f>
        <v/>
      </c>
      <c r="C158" s="5">
        <f>IFERROR(VLOOKUP(B158,Customers!A:B,2,FALSE),"")</f>
        <v/>
      </c>
      <c r="I158" s="5">
        <f>IFERROR(VLOOKUP(B158,Customers!A:L,12,FALSE),"")</f>
        <v/>
      </c>
    </row>
    <row r="159">
      <c r="A159" s="5">
        <f>IF(B159="","","OCC-"&amp;TEXT(ROW()-1,"0000"))</f>
        <v/>
      </c>
      <c r="C159" s="5">
        <f>IFERROR(VLOOKUP(B159,Customers!A:B,2,FALSE),"")</f>
        <v/>
      </c>
      <c r="I159" s="5">
        <f>IFERROR(VLOOKUP(B159,Customers!A:L,12,FALSE),"")</f>
        <v/>
      </c>
    </row>
    <row r="160">
      <c r="A160" s="5">
        <f>IF(B160="","","OCC-"&amp;TEXT(ROW()-1,"0000"))</f>
        <v/>
      </c>
      <c r="C160" s="5">
        <f>IFERROR(VLOOKUP(B160,Customers!A:B,2,FALSE),"")</f>
        <v/>
      </c>
      <c r="I160" s="5">
        <f>IFERROR(VLOOKUP(B160,Customers!A:L,12,FALSE),"")</f>
        <v/>
      </c>
    </row>
    <row r="161">
      <c r="A161" s="5">
        <f>IF(B161="","","OCC-"&amp;TEXT(ROW()-1,"0000"))</f>
        <v/>
      </c>
      <c r="C161" s="5">
        <f>IFERROR(VLOOKUP(B161,Customers!A:B,2,FALSE),"")</f>
        <v/>
      </c>
      <c r="I161" s="5">
        <f>IFERROR(VLOOKUP(B161,Customers!A:L,12,FALSE),"")</f>
        <v/>
      </c>
    </row>
    <row r="162">
      <c r="A162" s="5">
        <f>IF(B162="","","OCC-"&amp;TEXT(ROW()-1,"0000"))</f>
        <v/>
      </c>
      <c r="C162" s="5">
        <f>IFERROR(VLOOKUP(B162,Customers!A:B,2,FALSE),"")</f>
        <v/>
      </c>
      <c r="I162" s="5">
        <f>IFERROR(VLOOKUP(B162,Customers!A:L,12,FALSE),"")</f>
        <v/>
      </c>
    </row>
    <row r="163">
      <c r="A163" s="5">
        <f>IF(B163="","","OCC-"&amp;TEXT(ROW()-1,"0000"))</f>
        <v/>
      </c>
      <c r="C163" s="5">
        <f>IFERROR(VLOOKUP(B163,Customers!A:B,2,FALSE),"")</f>
        <v/>
      </c>
      <c r="I163" s="5">
        <f>IFERROR(VLOOKUP(B163,Customers!A:L,12,FALSE),"")</f>
        <v/>
      </c>
    </row>
    <row r="164">
      <c r="A164" s="5">
        <f>IF(B164="","","OCC-"&amp;TEXT(ROW()-1,"0000"))</f>
        <v/>
      </c>
      <c r="C164" s="5">
        <f>IFERROR(VLOOKUP(B164,Customers!A:B,2,FALSE),"")</f>
        <v/>
      </c>
      <c r="I164" s="5">
        <f>IFERROR(VLOOKUP(B164,Customers!A:L,12,FALSE),"")</f>
        <v/>
      </c>
    </row>
    <row r="165">
      <c r="A165" s="5">
        <f>IF(B165="","","OCC-"&amp;TEXT(ROW()-1,"0000"))</f>
        <v/>
      </c>
      <c r="C165" s="5">
        <f>IFERROR(VLOOKUP(B165,Customers!A:B,2,FALSE),"")</f>
        <v/>
      </c>
      <c r="I165" s="5">
        <f>IFERROR(VLOOKUP(B165,Customers!A:L,12,FALSE),"")</f>
        <v/>
      </c>
    </row>
    <row r="166">
      <c r="A166" s="5">
        <f>IF(B166="","","OCC-"&amp;TEXT(ROW()-1,"0000"))</f>
        <v/>
      </c>
      <c r="C166" s="5">
        <f>IFERROR(VLOOKUP(B166,Customers!A:B,2,FALSE),"")</f>
        <v/>
      </c>
      <c r="I166" s="5">
        <f>IFERROR(VLOOKUP(B166,Customers!A:L,12,FALSE),"")</f>
        <v/>
      </c>
    </row>
    <row r="167">
      <c r="A167" s="5">
        <f>IF(B167="","","OCC-"&amp;TEXT(ROW()-1,"0000"))</f>
        <v/>
      </c>
      <c r="C167" s="5">
        <f>IFERROR(VLOOKUP(B167,Customers!A:B,2,FALSE),"")</f>
        <v/>
      </c>
      <c r="I167" s="5">
        <f>IFERROR(VLOOKUP(B167,Customers!A:L,12,FALSE),"")</f>
        <v/>
      </c>
    </row>
    <row r="168">
      <c r="A168" s="5">
        <f>IF(B168="","","OCC-"&amp;TEXT(ROW()-1,"0000"))</f>
        <v/>
      </c>
      <c r="C168" s="5">
        <f>IFERROR(VLOOKUP(B168,Customers!A:B,2,FALSE),"")</f>
        <v/>
      </c>
      <c r="I168" s="5">
        <f>IFERROR(VLOOKUP(B168,Customers!A:L,12,FALSE),"")</f>
        <v/>
      </c>
    </row>
    <row r="169">
      <c r="A169" s="5">
        <f>IF(B169="","","OCC-"&amp;TEXT(ROW()-1,"0000"))</f>
        <v/>
      </c>
      <c r="C169" s="5">
        <f>IFERROR(VLOOKUP(B169,Customers!A:B,2,FALSE),"")</f>
        <v/>
      </c>
      <c r="I169" s="5">
        <f>IFERROR(VLOOKUP(B169,Customers!A:L,12,FALSE),"")</f>
        <v/>
      </c>
    </row>
    <row r="170">
      <c r="A170" s="5">
        <f>IF(B170="","","OCC-"&amp;TEXT(ROW()-1,"0000"))</f>
        <v/>
      </c>
      <c r="C170" s="5">
        <f>IFERROR(VLOOKUP(B170,Customers!A:B,2,FALSE),"")</f>
        <v/>
      </c>
      <c r="I170" s="5">
        <f>IFERROR(VLOOKUP(B170,Customers!A:L,12,FALSE),"")</f>
        <v/>
      </c>
    </row>
    <row r="171">
      <c r="A171" s="5">
        <f>IF(B171="","","OCC-"&amp;TEXT(ROW()-1,"0000"))</f>
        <v/>
      </c>
      <c r="C171" s="5">
        <f>IFERROR(VLOOKUP(B171,Customers!A:B,2,FALSE),"")</f>
        <v/>
      </c>
      <c r="I171" s="5">
        <f>IFERROR(VLOOKUP(B171,Customers!A:L,12,FALSE),"")</f>
        <v/>
      </c>
    </row>
    <row r="172">
      <c r="A172" s="5">
        <f>IF(B172="","","OCC-"&amp;TEXT(ROW()-1,"0000"))</f>
        <v/>
      </c>
      <c r="C172" s="5">
        <f>IFERROR(VLOOKUP(B172,Customers!A:B,2,FALSE),"")</f>
        <v/>
      </c>
      <c r="I172" s="5">
        <f>IFERROR(VLOOKUP(B172,Customers!A:L,12,FALSE),"")</f>
        <v/>
      </c>
    </row>
    <row r="173">
      <c r="A173" s="5">
        <f>IF(B173="","","OCC-"&amp;TEXT(ROW()-1,"0000"))</f>
        <v/>
      </c>
      <c r="C173" s="5">
        <f>IFERROR(VLOOKUP(B173,Customers!A:B,2,FALSE),"")</f>
        <v/>
      </c>
      <c r="I173" s="5">
        <f>IFERROR(VLOOKUP(B173,Customers!A:L,12,FALSE),"")</f>
        <v/>
      </c>
    </row>
    <row r="174">
      <c r="A174" s="5">
        <f>IF(B174="","","OCC-"&amp;TEXT(ROW()-1,"0000"))</f>
        <v/>
      </c>
      <c r="C174" s="5">
        <f>IFERROR(VLOOKUP(B174,Customers!A:B,2,FALSE),"")</f>
        <v/>
      </c>
      <c r="I174" s="5">
        <f>IFERROR(VLOOKUP(B174,Customers!A:L,12,FALSE),"")</f>
        <v/>
      </c>
    </row>
    <row r="175">
      <c r="A175" s="5">
        <f>IF(B175="","","OCC-"&amp;TEXT(ROW()-1,"0000"))</f>
        <v/>
      </c>
      <c r="C175" s="5">
        <f>IFERROR(VLOOKUP(B175,Customers!A:B,2,FALSE),"")</f>
        <v/>
      </c>
      <c r="I175" s="5">
        <f>IFERROR(VLOOKUP(B175,Customers!A:L,12,FALSE),"")</f>
        <v/>
      </c>
    </row>
    <row r="176">
      <c r="A176" s="5">
        <f>IF(B176="","","OCC-"&amp;TEXT(ROW()-1,"0000"))</f>
        <v/>
      </c>
      <c r="C176" s="5">
        <f>IFERROR(VLOOKUP(B176,Customers!A:B,2,FALSE),"")</f>
        <v/>
      </c>
      <c r="I176" s="5">
        <f>IFERROR(VLOOKUP(B176,Customers!A:L,12,FALSE),"")</f>
        <v/>
      </c>
    </row>
    <row r="177">
      <c r="A177" s="5">
        <f>IF(B177="","","OCC-"&amp;TEXT(ROW()-1,"0000"))</f>
        <v/>
      </c>
      <c r="C177" s="5">
        <f>IFERROR(VLOOKUP(B177,Customers!A:B,2,FALSE),"")</f>
        <v/>
      </c>
      <c r="I177" s="5">
        <f>IFERROR(VLOOKUP(B177,Customers!A:L,12,FALSE),"")</f>
        <v/>
      </c>
    </row>
    <row r="178">
      <c r="A178" s="5">
        <f>IF(B178="","","OCC-"&amp;TEXT(ROW()-1,"0000"))</f>
        <v/>
      </c>
      <c r="C178" s="5">
        <f>IFERROR(VLOOKUP(B178,Customers!A:B,2,FALSE),"")</f>
        <v/>
      </c>
      <c r="I178" s="5">
        <f>IFERROR(VLOOKUP(B178,Customers!A:L,12,FALSE),"")</f>
        <v/>
      </c>
    </row>
    <row r="179">
      <c r="A179" s="5">
        <f>IF(B179="","","OCC-"&amp;TEXT(ROW()-1,"0000"))</f>
        <v/>
      </c>
      <c r="C179" s="5">
        <f>IFERROR(VLOOKUP(B179,Customers!A:B,2,FALSE),"")</f>
        <v/>
      </c>
      <c r="I179" s="5">
        <f>IFERROR(VLOOKUP(B179,Customers!A:L,12,FALSE),"")</f>
        <v/>
      </c>
    </row>
    <row r="180">
      <c r="A180" s="5">
        <f>IF(B180="","","OCC-"&amp;TEXT(ROW()-1,"0000"))</f>
        <v/>
      </c>
      <c r="C180" s="5">
        <f>IFERROR(VLOOKUP(B180,Customers!A:B,2,FALSE),"")</f>
        <v/>
      </c>
      <c r="I180" s="5">
        <f>IFERROR(VLOOKUP(B180,Customers!A:L,12,FALSE),"")</f>
        <v/>
      </c>
    </row>
    <row r="181">
      <c r="A181" s="5">
        <f>IF(B181="","","OCC-"&amp;TEXT(ROW()-1,"0000"))</f>
        <v/>
      </c>
      <c r="C181" s="5">
        <f>IFERROR(VLOOKUP(B181,Customers!A:B,2,FALSE),"")</f>
        <v/>
      </c>
      <c r="I181" s="5">
        <f>IFERROR(VLOOKUP(B181,Customers!A:L,12,FALSE),"")</f>
        <v/>
      </c>
    </row>
    <row r="182">
      <c r="A182" s="5">
        <f>IF(B182="","","OCC-"&amp;TEXT(ROW()-1,"0000"))</f>
        <v/>
      </c>
      <c r="C182" s="5">
        <f>IFERROR(VLOOKUP(B182,Customers!A:B,2,FALSE),"")</f>
        <v/>
      </c>
      <c r="I182" s="5">
        <f>IFERROR(VLOOKUP(B182,Customers!A:L,12,FALSE),"")</f>
        <v/>
      </c>
    </row>
    <row r="183">
      <c r="A183" s="5">
        <f>IF(B183="","","OCC-"&amp;TEXT(ROW()-1,"0000"))</f>
        <v/>
      </c>
      <c r="C183" s="5">
        <f>IFERROR(VLOOKUP(B183,Customers!A:B,2,FALSE),"")</f>
        <v/>
      </c>
      <c r="I183" s="5">
        <f>IFERROR(VLOOKUP(B183,Customers!A:L,12,FALSE),"")</f>
        <v/>
      </c>
    </row>
    <row r="184">
      <c r="A184" s="5">
        <f>IF(B184="","","OCC-"&amp;TEXT(ROW()-1,"0000"))</f>
        <v/>
      </c>
      <c r="C184" s="5">
        <f>IFERROR(VLOOKUP(B184,Customers!A:B,2,FALSE),"")</f>
        <v/>
      </c>
      <c r="I184" s="5">
        <f>IFERROR(VLOOKUP(B184,Customers!A:L,12,FALSE),"")</f>
        <v/>
      </c>
    </row>
    <row r="185">
      <c r="A185" s="5">
        <f>IF(B185="","","OCC-"&amp;TEXT(ROW()-1,"0000"))</f>
        <v/>
      </c>
      <c r="C185" s="5">
        <f>IFERROR(VLOOKUP(B185,Customers!A:B,2,FALSE),"")</f>
        <v/>
      </c>
      <c r="I185" s="5">
        <f>IFERROR(VLOOKUP(B185,Customers!A:L,12,FALSE),"")</f>
        <v/>
      </c>
    </row>
    <row r="186">
      <c r="A186" s="5">
        <f>IF(B186="","","OCC-"&amp;TEXT(ROW()-1,"0000"))</f>
        <v/>
      </c>
      <c r="C186" s="5">
        <f>IFERROR(VLOOKUP(B186,Customers!A:B,2,FALSE),"")</f>
        <v/>
      </c>
      <c r="I186" s="5">
        <f>IFERROR(VLOOKUP(B186,Customers!A:L,12,FALSE),"")</f>
        <v/>
      </c>
    </row>
    <row r="187">
      <c r="A187" s="5">
        <f>IF(B187="","","OCC-"&amp;TEXT(ROW()-1,"0000"))</f>
        <v/>
      </c>
      <c r="C187" s="5">
        <f>IFERROR(VLOOKUP(B187,Customers!A:B,2,FALSE),"")</f>
        <v/>
      </c>
      <c r="I187" s="5">
        <f>IFERROR(VLOOKUP(B187,Customers!A:L,12,FALSE),"")</f>
        <v/>
      </c>
    </row>
    <row r="188">
      <c r="A188" s="5">
        <f>IF(B188="","","OCC-"&amp;TEXT(ROW()-1,"0000"))</f>
        <v/>
      </c>
      <c r="C188" s="5">
        <f>IFERROR(VLOOKUP(B188,Customers!A:B,2,FALSE),"")</f>
        <v/>
      </c>
      <c r="I188" s="5">
        <f>IFERROR(VLOOKUP(B188,Customers!A:L,12,FALSE),"")</f>
        <v/>
      </c>
    </row>
    <row r="189">
      <c r="A189" s="5">
        <f>IF(B189="","","OCC-"&amp;TEXT(ROW()-1,"0000"))</f>
        <v/>
      </c>
      <c r="C189" s="5">
        <f>IFERROR(VLOOKUP(B189,Customers!A:B,2,FALSE),"")</f>
        <v/>
      </c>
      <c r="I189" s="5">
        <f>IFERROR(VLOOKUP(B189,Customers!A:L,12,FALSE),"")</f>
        <v/>
      </c>
    </row>
    <row r="190">
      <c r="A190" s="5">
        <f>IF(B190="","","OCC-"&amp;TEXT(ROW()-1,"0000"))</f>
        <v/>
      </c>
      <c r="C190" s="5">
        <f>IFERROR(VLOOKUP(B190,Customers!A:B,2,FALSE),"")</f>
        <v/>
      </c>
      <c r="I190" s="5">
        <f>IFERROR(VLOOKUP(B190,Customers!A:L,12,FALSE),"")</f>
        <v/>
      </c>
    </row>
    <row r="191">
      <c r="A191" s="5">
        <f>IF(B191="","","OCC-"&amp;TEXT(ROW()-1,"0000"))</f>
        <v/>
      </c>
      <c r="C191" s="5">
        <f>IFERROR(VLOOKUP(B191,Customers!A:B,2,FALSE),"")</f>
        <v/>
      </c>
      <c r="I191" s="5">
        <f>IFERROR(VLOOKUP(B191,Customers!A:L,12,FALSE),"")</f>
        <v/>
      </c>
    </row>
    <row r="192">
      <c r="A192" s="5">
        <f>IF(B192="","","OCC-"&amp;TEXT(ROW()-1,"0000"))</f>
        <v/>
      </c>
      <c r="C192" s="5">
        <f>IFERROR(VLOOKUP(B192,Customers!A:B,2,FALSE),"")</f>
        <v/>
      </c>
      <c r="I192" s="5">
        <f>IFERROR(VLOOKUP(B192,Customers!A:L,12,FALSE),"")</f>
        <v/>
      </c>
    </row>
    <row r="193">
      <c r="A193" s="5">
        <f>IF(B193="","","OCC-"&amp;TEXT(ROW()-1,"0000"))</f>
        <v/>
      </c>
      <c r="C193" s="5">
        <f>IFERROR(VLOOKUP(B193,Customers!A:B,2,FALSE),"")</f>
        <v/>
      </c>
      <c r="I193" s="5">
        <f>IFERROR(VLOOKUP(B193,Customers!A:L,12,FALSE),"")</f>
        <v/>
      </c>
    </row>
    <row r="194">
      <c r="A194" s="5">
        <f>IF(B194="","","OCC-"&amp;TEXT(ROW()-1,"0000"))</f>
        <v/>
      </c>
      <c r="C194" s="5">
        <f>IFERROR(VLOOKUP(B194,Customers!A:B,2,FALSE),"")</f>
        <v/>
      </c>
      <c r="I194" s="5">
        <f>IFERROR(VLOOKUP(B194,Customers!A:L,12,FALSE),"")</f>
        <v/>
      </c>
    </row>
    <row r="195">
      <c r="A195" s="5">
        <f>IF(B195="","","OCC-"&amp;TEXT(ROW()-1,"0000"))</f>
        <v/>
      </c>
      <c r="C195" s="5">
        <f>IFERROR(VLOOKUP(B195,Customers!A:B,2,FALSE),"")</f>
        <v/>
      </c>
      <c r="I195" s="5">
        <f>IFERROR(VLOOKUP(B195,Customers!A:L,12,FALSE),"")</f>
        <v/>
      </c>
    </row>
    <row r="196">
      <c r="A196" s="5">
        <f>IF(B196="","","OCC-"&amp;TEXT(ROW()-1,"0000"))</f>
        <v/>
      </c>
      <c r="C196" s="5">
        <f>IFERROR(VLOOKUP(B196,Customers!A:B,2,FALSE),"")</f>
        <v/>
      </c>
      <c r="I196" s="5">
        <f>IFERROR(VLOOKUP(B196,Customers!A:L,12,FALSE),"")</f>
        <v/>
      </c>
    </row>
    <row r="197">
      <c r="A197" s="5">
        <f>IF(B197="","","OCC-"&amp;TEXT(ROW()-1,"0000"))</f>
        <v/>
      </c>
      <c r="C197" s="5">
        <f>IFERROR(VLOOKUP(B197,Customers!A:B,2,FALSE),"")</f>
        <v/>
      </c>
      <c r="I197" s="5">
        <f>IFERROR(VLOOKUP(B197,Customers!A:L,12,FALSE),"")</f>
        <v/>
      </c>
    </row>
    <row r="198">
      <c r="A198" s="5">
        <f>IF(B198="","","OCC-"&amp;TEXT(ROW()-1,"0000"))</f>
        <v/>
      </c>
      <c r="C198" s="5">
        <f>IFERROR(VLOOKUP(B198,Customers!A:B,2,FALSE),"")</f>
        <v/>
      </c>
      <c r="I198" s="5">
        <f>IFERROR(VLOOKUP(B198,Customers!A:L,12,FALSE),"")</f>
        <v/>
      </c>
    </row>
    <row r="199">
      <c r="A199" s="5">
        <f>IF(B199="","","OCC-"&amp;TEXT(ROW()-1,"0000"))</f>
        <v/>
      </c>
      <c r="C199" s="5">
        <f>IFERROR(VLOOKUP(B199,Customers!A:B,2,FALSE),"")</f>
        <v/>
      </c>
      <c r="I199" s="5">
        <f>IFERROR(VLOOKUP(B199,Customers!A:L,12,FALSE),"")</f>
        <v/>
      </c>
    </row>
    <row r="200">
      <c r="A200" s="5">
        <f>IF(B200="","","OCC-"&amp;TEXT(ROW()-1,"0000"))</f>
        <v/>
      </c>
      <c r="C200" s="5">
        <f>IFERROR(VLOOKUP(B200,Customers!A:B,2,FALSE),"")</f>
        <v/>
      </c>
      <c r="I200" s="5">
        <f>IFERROR(VLOOKUP(B200,Customers!A:L,12,FALSE),"")</f>
        <v/>
      </c>
    </row>
    <row r="201">
      <c r="A201" s="5">
        <f>IF(B201="","","OCC-"&amp;TEXT(ROW()-1,"0000"))</f>
        <v/>
      </c>
      <c r="C201" s="5">
        <f>IFERROR(VLOOKUP(B201,Customers!A:B,2,FALSE),"")</f>
        <v/>
      </c>
      <c r="I201" s="5">
        <f>IFERROR(VLOOKUP(B201,Customers!A:L,12,FALSE),"")</f>
        <v/>
      </c>
    </row>
    <row r="202">
      <c r="A202" s="5">
        <f>IF(B202="","","OCC-"&amp;TEXT(ROW()-1,"0000"))</f>
        <v/>
      </c>
      <c r="C202" s="5">
        <f>IFERROR(VLOOKUP(B202,Customers!A:B,2,FALSE),"")</f>
        <v/>
      </c>
      <c r="I202" s="5">
        <f>IFERROR(VLOOKUP(B202,Customers!A:L,12,FALSE),"")</f>
        <v/>
      </c>
    </row>
    <row r="203">
      <c r="A203" s="5">
        <f>IF(B203="","","OCC-"&amp;TEXT(ROW()-1,"0000"))</f>
        <v/>
      </c>
      <c r="C203" s="5">
        <f>IFERROR(VLOOKUP(B203,Customers!A:B,2,FALSE),"")</f>
        <v/>
      </c>
      <c r="I203" s="5">
        <f>IFERROR(VLOOKUP(B203,Customers!A:L,12,FALSE),"")</f>
        <v/>
      </c>
    </row>
    <row r="204">
      <c r="A204" s="5">
        <f>IF(B204="","","OCC-"&amp;TEXT(ROW()-1,"0000"))</f>
        <v/>
      </c>
      <c r="C204" s="5">
        <f>IFERROR(VLOOKUP(B204,Customers!A:B,2,FALSE),"")</f>
        <v/>
      </c>
      <c r="I204" s="5">
        <f>IFERROR(VLOOKUP(B204,Customers!A:L,12,FALSE),"")</f>
        <v/>
      </c>
    </row>
    <row r="205">
      <c r="A205" s="5">
        <f>IF(B205="","","OCC-"&amp;TEXT(ROW()-1,"0000"))</f>
        <v/>
      </c>
      <c r="C205" s="5">
        <f>IFERROR(VLOOKUP(B205,Customers!A:B,2,FALSE),"")</f>
        <v/>
      </c>
      <c r="I205" s="5">
        <f>IFERROR(VLOOKUP(B205,Customers!A:L,12,FALSE),"")</f>
        <v/>
      </c>
    </row>
    <row r="206">
      <c r="A206" s="5">
        <f>IF(B206="","","OCC-"&amp;TEXT(ROW()-1,"0000"))</f>
        <v/>
      </c>
      <c r="C206" s="5">
        <f>IFERROR(VLOOKUP(B206,Customers!A:B,2,FALSE),"")</f>
        <v/>
      </c>
      <c r="I206" s="5">
        <f>IFERROR(VLOOKUP(B206,Customers!A:L,12,FALSE),"")</f>
        <v/>
      </c>
    </row>
    <row r="207">
      <c r="A207" s="5">
        <f>IF(B207="","","OCC-"&amp;TEXT(ROW()-1,"0000"))</f>
        <v/>
      </c>
      <c r="C207" s="5">
        <f>IFERROR(VLOOKUP(B207,Customers!A:B,2,FALSE),"")</f>
        <v/>
      </c>
      <c r="I207" s="5">
        <f>IFERROR(VLOOKUP(B207,Customers!A:L,12,FALSE),"")</f>
        <v/>
      </c>
    </row>
    <row r="208">
      <c r="A208" s="5">
        <f>IF(B208="","","OCC-"&amp;TEXT(ROW()-1,"0000"))</f>
        <v/>
      </c>
      <c r="C208" s="5">
        <f>IFERROR(VLOOKUP(B208,Customers!A:B,2,FALSE),"")</f>
        <v/>
      </c>
      <c r="I208" s="5">
        <f>IFERROR(VLOOKUP(B208,Customers!A:L,12,FALSE),"")</f>
        <v/>
      </c>
    </row>
    <row r="209">
      <c r="A209" s="5">
        <f>IF(B209="","","OCC-"&amp;TEXT(ROW()-1,"0000"))</f>
        <v/>
      </c>
      <c r="C209" s="5">
        <f>IFERROR(VLOOKUP(B209,Customers!A:B,2,FALSE),"")</f>
        <v/>
      </c>
      <c r="I209" s="5">
        <f>IFERROR(VLOOKUP(B209,Customers!A:L,12,FALSE),"")</f>
        <v/>
      </c>
    </row>
    <row r="210">
      <c r="A210" s="5">
        <f>IF(B210="","","OCC-"&amp;TEXT(ROW()-1,"0000"))</f>
        <v/>
      </c>
      <c r="C210" s="5">
        <f>IFERROR(VLOOKUP(B210,Customers!A:B,2,FALSE),"")</f>
        <v/>
      </c>
      <c r="I210" s="5">
        <f>IFERROR(VLOOKUP(B210,Customers!A:L,12,FALSE),"")</f>
        <v/>
      </c>
    </row>
    <row r="211">
      <c r="A211" s="5">
        <f>IF(B211="","","OCC-"&amp;TEXT(ROW()-1,"0000"))</f>
        <v/>
      </c>
      <c r="C211" s="5">
        <f>IFERROR(VLOOKUP(B211,Customers!A:B,2,FALSE),"")</f>
        <v/>
      </c>
      <c r="I211" s="5">
        <f>IFERROR(VLOOKUP(B211,Customers!A:L,12,FALSE),"")</f>
        <v/>
      </c>
    </row>
    <row r="212">
      <c r="A212" s="5">
        <f>IF(B212="","","OCC-"&amp;TEXT(ROW()-1,"0000"))</f>
        <v/>
      </c>
      <c r="C212" s="5">
        <f>IFERROR(VLOOKUP(B212,Customers!A:B,2,FALSE),"")</f>
        <v/>
      </c>
      <c r="I212" s="5">
        <f>IFERROR(VLOOKUP(B212,Customers!A:L,12,FALSE),"")</f>
        <v/>
      </c>
    </row>
    <row r="213">
      <c r="A213" s="5">
        <f>IF(B213="","","OCC-"&amp;TEXT(ROW()-1,"0000"))</f>
        <v/>
      </c>
      <c r="C213" s="5">
        <f>IFERROR(VLOOKUP(B213,Customers!A:B,2,FALSE),"")</f>
        <v/>
      </c>
      <c r="I213" s="5">
        <f>IFERROR(VLOOKUP(B213,Customers!A:L,12,FALSE),"")</f>
        <v/>
      </c>
    </row>
    <row r="214">
      <c r="A214" s="5">
        <f>IF(B214="","","OCC-"&amp;TEXT(ROW()-1,"0000"))</f>
        <v/>
      </c>
      <c r="C214" s="5">
        <f>IFERROR(VLOOKUP(B214,Customers!A:B,2,FALSE),"")</f>
        <v/>
      </c>
      <c r="I214" s="5">
        <f>IFERROR(VLOOKUP(B214,Customers!A:L,12,FALSE),"")</f>
        <v/>
      </c>
    </row>
    <row r="215">
      <c r="A215" s="5">
        <f>IF(B215="","","OCC-"&amp;TEXT(ROW()-1,"0000"))</f>
        <v/>
      </c>
      <c r="C215" s="5">
        <f>IFERROR(VLOOKUP(B215,Customers!A:B,2,FALSE),"")</f>
        <v/>
      </c>
      <c r="I215" s="5">
        <f>IFERROR(VLOOKUP(B215,Customers!A:L,12,FALSE),"")</f>
        <v/>
      </c>
    </row>
    <row r="216">
      <c r="A216" s="5">
        <f>IF(B216="","","OCC-"&amp;TEXT(ROW()-1,"0000"))</f>
        <v/>
      </c>
      <c r="C216" s="5">
        <f>IFERROR(VLOOKUP(B216,Customers!A:B,2,FALSE),"")</f>
        <v/>
      </c>
      <c r="I216" s="5">
        <f>IFERROR(VLOOKUP(B216,Customers!A:L,12,FALSE),"")</f>
        <v/>
      </c>
    </row>
    <row r="217">
      <c r="A217" s="5">
        <f>IF(B217="","","OCC-"&amp;TEXT(ROW()-1,"0000"))</f>
        <v/>
      </c>
      <c r="C217" s="5">
        <f>IFERROR(VLOOKUP(B217,Customers!A:B,2,FALSE),"")</f>
        <v/>
      </c>
      <c r="I217" s="5">
        <f>IFERROR(VLOOKUP(B217,Customers!A:L,12,FALSE),"")</f>
        <v/>
      </c>
    </row>
    <row r="218">
      <c r="A218" s="5">
        <f>IF(B218="","","OCC-"&amp;TEXT(ROW()-1,"0000"))</f>
        <v/>
      </c>
      <c r="C218" s="5">
        <f>IFERROR(VLOOKUP(B218,Customers!A:B,2,FALSE),"")</f>
        <v/>
      </c>
      <c r="I218" s="5">
        <f>IFERROR(VLOOKUP(B218,Customers!A:L,12,FALSE),"")</f>
        <v/>
      </c>
    </row>
    <row r="219">
      <c r="A219" s="5">
        <f>IF(B219="","","OCC-"&amp;TEXT(ROW()-1,"0000"))</f>
        <v/>
      </c>
      <c r="C219" s="5">
        <f>IFERROR(VLOOKUP(B219,Customers!A:B,2,FALSE),"")</f>
        <v/>
      </c>
      <c r="I219" s="5">
        <f>IFERROR(VLOOKUP(B219,Customers!A:L,12,FALSE),"")</f>
        <v/>
      </c>
    </row>
    <row r="220">
      <c r="A220" s="5">
        <f>IF(B220="","","OCC-"&amp;TEXT(ROW()-1,"0000"))</f>
        <v/>
      </c>
      <c r="C220" s="5">
        <f>IFERROR(VLOOKUP(B220,Customers!A:B,2,FALSE),"")</f>
        <v/>
      </c>
      <c r="I220" s="5">
        <f>IFERROR(VLOOKUP(B220,Customers!A:L,12,FALSE),"")</f>
        <v/>
      </c>
    </row>
    <row r="221">
      <c r="A221" s="5">
        <f>IF(B221="","","OCC-"&amp;TEXT(ROW()-1,"0000"))</f>
        <v/>
      </c>
      <c r="C221" s="5">
        <f>IFERROR(VLOOKUP(B221,Customers!A:B,2,FALSE),"")</f>
        <v/>
      </c>
      <c r="I221" s="5">
        <f>IFERROR(VLOOKUP(B221,Customers!A:L,12,FALSE),"")</f>
        <v/>
      </c>
    </row>
    <row r="222">
      <c r="A222" s="5">
        <f>IF(B222="","","OCC-"&amp;TEXT(ROW()-1,"0000"))</f>
        <v/>
      </c>
      <c r="C222" s="5">
        <f>IFERROR(VLOOKUP(B222,Customers!A:B,2,FALSE),"")</f>
        <v/>
      </c>
      <c r="I222" s="5">
        <f>IFERROR(VLOOKUP(B222,Customers!A:L,12,FALSE),"")</f>
        <v/>
      </c>
    </row>
    <row r="223">
      <c r="A223" s="5">
        <f>IF(B223="","","OCC-"&amp;TEXT(ROW()-1,"0000"))</f>
        <v/>
      </c>
      <c r="C223" s="5">
        <f>IFERROR(VLOOKUP(B223,Customers!A:B,2,FALSE),"")</f>
        <v/>
      </c>
      <c r="I223" s="5">
        <f>IFERROR(VLOOKUP(B223,Customers!A:L,12,FALSE),"")</f>
        <v/>
      </c>
    </row>
    <row r="224">
      <c r="A224" s="5">
        <f>IF(B224="","","OCC-"&amp;TEXT(ROW()-1,"0000"))</f>
        <v/>
      </c>
      <c r="C224" s="5">
        <f>IFERROR(VLOOKUP(B224,Customers!A:B,2,FALSE),"")</f>
        <v/>
      </c>
      <c r="I224" s="5">
        <f>IFERROR(VLOOKUP(B224,Customers!A:L,12,FALSE),"")</f>
        <v/>
      </c>
    </row>
    <row r="225">
      <c r="A225" s="5">
        <f>IF(B225="","","OCC-"&amp;TEXT(ROW()-1,"0000"))</f>
        <v/>
      </c>
      <c r="C225" s="5">
        <f>IFERROR(VLOOKUP(B225,Customers!A:B,2,FALSE),"")</f>
        <v/>
      </c>
      <c r="I225" s="5">
        <f>IFERROR(VLOOKUP(B225,Customers!A:L,12,FALSE),"")</f>
        <v/>
      </c>
    </row>
    <row r="226">
      <c r="A226" s="5">
        <f>IF(B226="","","OCC-"&amp;TEXT(ROW()-1,"0000"))</f>
        <v/>
      </c>
      <c r="C226" s="5">
        <f>IFERROR(VLOOKUP(B226,Customers!A:B,2,FALSE),"")</f>
        <v/>
      </c>
      <c r="I226" s="5">
        <f>IFERROR(VLOOKUP(B226,Customers!A:L,12,FALSE),"")</f>
        <v/>
      </c>
    </row>
    <row r="227">
      <c r="A227" s="5">
        <f>IF(B227="","","OCC-"&amp;TEXT(ROW()-1,"0000"))</f>
        <v/>
      </c>
      <c r="C227" s="5">
        <f>IFERROR(VLOOKUP(B227,Customers!A:B,2,FALSE),"")</f>
        <v/>
      </c>
      <c r="I227" s="5">
        <f>IFERROR(VLOOKUP(B227,Customers!A:L,12,FALSE),"")</f>
        <v/>
      </c>
    </row>
    <row r="228">
      <c r="A228" s="5">
        <f>IF(B228="","","OCC-"&amp;TEXT(ROW()-1,"0000"))</f>
        <v/>
      </c>
      <c r="C228" s="5">
        <f>IFERROR(VLOOKUP(B228,Customers!A:B,2,FALSE),"")</f>
        <v/>
      </c>
      <c r="I228" s="5">
        <f>IFERROR(VLOOKUP(B228,Customers!A:L,12,FALSE),"")</f>
        <v/>
      </c>
    </row>
    <row r="229">
      <c r="A229" s="5">
        <f>IF(B229="","","OCC-"&amp;TEXT(ROW()-1,"0000"))</f>
        <v/>
      </c>
      <c r="C229" s="5">
        <f>IFERROR(VLOOKUP(B229,Customers!A:B,2,FALSE),"")</f>
        <v/>
      </c>
      <c r="I229" s="5">
        <f>IFERROR(VLOOKUP(B229,Customers!A:L,12,FALSE),"")</f>
        <v/>
      </c>
    </row>
    <row r="230">
      <c r="A230" s="5">
        <f>IF(B230="","","OCC-"&amp;TEXT(ROW()-1,"0000"))</f>
        <v/>
      </c>
      <c r="C230" s="5">
        <f>IFERROR(VLOOKUP(B230,Customers!A:B,2,FALSE),"")</f>
        <v/>
      </c>
      <c r="I230" s="5">
        <f>IFERROR(VLOOKUP(B230,Customers!A:L,12,FALSE),"")</f>
        <v/>
      </c>
    </row>
    <row r="231">
      <c r="A231" s="5">
        <f>IF(B231="","","OCC-"&amp;TEXT(ROW()-1,"0000"))</f>
        <v/>
      </c>
      <c r="C231" s="5">
        <f>IFERROR(VLOOKUP(B231,Customers!A:B,2,FALSE),"")</f>
        <v/>
      </c>
      <c r="I231" s="5">
        <f>IFERROR(VLOOKUP(B231,Customers!A:L,12,FALSE),"")</f>
        <v/>
      </c>
    </row>
    <row r="232">
      <c r="A232" s="5">
        <f>IF(B232="","","OCC-"&amp;TEXT(ROW()-1,"0000"))</f>
        <v/>
      </c>
      <c r="C232" s="5">
        <f>IFERROR(VLOOKUP(B232,Customers!A:B,2,FALSE),"")</f>
        <v/>
      </c>
      <c r="I232" s="5">
        <f>IFERROR(VLOOKUP(B232,Customers!A:L,12,FALSE),"")</f>
        <v/>
      </c>
    </row>
    <row r="233">
      <c r="A233" s="5">
        <f>IF(B233="","","OCC-"&amp;TEXT(ROW()-1,"0000"))</f>
        <v/>
      </c>
      <c r="C233" s="5">
        <f>IFERROR(VLOOKUP(B233,Customers!A:B,2,FALSE),"")</f>
        <v/>
      </c>
      <c r="I233" s="5">
        <f>IFERROR(VLOOKUP(B233,Customers!A:L,12,FALSE),"")</f>
        <v/>
      </c>
    </row>
    <row r="234">
      <c r="A234" s="5">
        <f>IF(B234="","","OCC-"&amp;TEXT(ROW()-1,"0000"))</f>
        <v/>
      </c>
      <c r="C234" s="5">
        <f>IFERROR(VLOOKUP(B234,Customers!A:B,2,FALSE),"")</f>
        <v/>
      </c>
      <c r="I234" s="5">
        <f>IFERROR(VLOOKUP(B234,Customers!A:L,12,FALSE),"")</f>
        <v/>
      </c>
    </row>
    <row r="235">
      <c r="A235" s="5">
        <f>IF(B235="","","OCC-"&amp;TEXT(ROW()-1,"0000"))</f>
        <v/>
      </c>
      <c r="C235" s="5">
        <f>IFERROR(VLOOKUP(B235,Customers!A:B,2,FALSE),"")</f>
        <v/>
      </c>
      <c r="I235" s="5">
        <f>IFERROR(VLOOKUP(B235,Customers!A:L,12,FALSE),"")</f>
        <v/>
      </c>
    </row>
    <row r="236">
      <c r="A236" s="5">
        <f>IF(B236="","","OCC-"&amp;TEXT(ROW()-1,"0000"))</f>
        <v/>
      </c>
      <c r="C236" s="5">
        <f>IFERROR(VLOOKUP(B236,Customers!A:B,2,FALSE),"")</f>
        <v/>
      </c>
      <c r="I236" s="5">
        <f>IFERROR(VLOOKUP(B236,Customers!A:L,12,FALSE),"")</f>
        <v/>
      </c>
    </row>
    <row r="237">
      <c r="A237" s="5">
        <f>IF(B237="","","OCC-"&amp;TEXT(ROW()-1,"0000"))</f>
        <v/>
      </c>
      <c r="C237" s="5">
        <f>IFERROR(VLOOKUP(B237,Customers!A:B,2,FALSE),"")</f>
        <v/>
      </c>
      <c r="I237" s="5">
        <f>IFERROR(VLOOKUP(B237,Customers!A:L,12,FALSE),"")</f>
        <v/>
      </c>
    </row>
    <row r="238">
      <c r="A238" s="5">
        <f>IF(B238="","","OCC-"&amp;TEXT(ROW()-1,"0000"))</f>
        <v/>
      </c>
      <c r="C238" s="5">
        <f>IFERROR(VLOOKUP(B238,Customers!A:B,2,FALSE),"")</f>
        <v/>
      </c>
      <c r="I238" s="5">
        <f>IFERROR(VLOOKUP(B238,Customers!A:L,12,FALSE),"")</f>
        <v/>
      </c>
    </row>
    <row r="239">
      <c r="A239" s="5">
        <f>IF(B239="","","OCC-"&amp;TEXT(ROW()-1,"0000"))</f>
        <v/>
      </c>
      <c r="C239" s="5">
        <f>IFERROR(VLOOKUP(B239,Customers!A:B,2,FALSE),"")</f>
        <v/>
      </c>
      <c r="I239" s="5">
        <f>IFERROR(VLOOKUP(B239,Customers!A:L,12,FALSE),"")</f>
        <v/>
      </c>
    </row>
    <row r="240">
      <c r="A240" s="5">
        <f>IF(B240="","","OCC-"&amp;TEXT(ROW()-1,"0000"))</f>
        <v/>
      </c>
      <c r="C240" s="5">
        <f>IFERROR(VLOOKUP(B240,Customers!A:B,2,FALSE),"")</f>
        <v/>
      </c>
      <c r="I240" s="5">
        <f>IFERROR(VLOOKUP(B240,Customers!A:L,12,FALSE),"")</f>
        <v/>
      </c>
    </row>
    <row r="241">
      <c r="A241" s="5">
        <f>IF(B241="","","OCC-"&amp;TEXT(ROW()-1,"0000"))</f>
        <v/>
      </c>
      <c r="C241" s="5">
        <f>IFERROR(VLOOKUP(B241,Customers!A:B,2,FALSE),"")</f>
        <v/>
      </c>
      <c r="I241" s="5">
        <f>IFERROR(VLOOKUP(B241,Customers!A:L,12,FALSE),"")</f>
        <v/>
      </c>
    </row>
    <row r="242">
      <c r="A242" s="5">
        <f>IF(B242="","","OCC-"&amp;TEXT(ROW()-1,"0000"))</f>
        <v/>
      </c>
      <c r="C242" s="5">
        <f>IFERROR(VLOOKUP(B242,Customers!A:B,2,FALSE),"")</f>
        <v/>
      </c>
      <c r="I242" s="5">
        <f>IFERROR(VLOOKUP(B242,Customers!A:L,12,FALSE),"")</f>
        <v/>
      </c>
    </row>
    <row r="243">
      <c r="A243" s="5">
        <f>IF(B243="","","OCC-"&amp;TEXT(ROW()-1,"0000"))</f>
        <v/>
      </c>
      <c r="C243" s="5">
        <f>IFERROR(VLOOKUP(B243,Customers!A:B,2,FALSE),"")</f>
        <v/>
      </c>
      <c r="I243" s="5">
        <f>IFERROR(VLOOKUP(B243,Customers!A:L,12,FALSE),"")</f>
        <v/>
      </c>
    </row>
    <row r="244">
      <c r="A244" s="5">
        <f>IF(B244="","","OCC-"&amp;TEXT(ROW()-1,"0000"))</f>
        <v/>
      </c>
      <c r="C244" s="5">
        <f>IFERROR(VLOOKUP(B244,Customers!A:B,2,FALSE),"")</f>
        <v/>
      </c>
      <c r="I244" s="5">
        <f>IFERROR(VLOOKUP(B244,Customers!A:L,12,FALSE),"")</f>
        <v/>
      </c>
    </row>
    <row r="245">
      <c r="A245" s="5">
        <f>IF(B245="","","OCC-"&amp;TEXT(ROW()-1,"0000"))</f>
        <v/>
      </c>
      <c r="C245" s="5">
        <f>IFERROR(VLOOKUP(B245,Customers!A:B,2,FALSE),"")</f>
        <v/>
      </c>
      <c r="I245" s="5">
        <f>IFERROR(VLOOKUP(B245,Customers!A:L,12,FALSE),"")</f>
        <v/>
      </c>
    </row>
    <row r="246">
      <c r="A246" s="5">
        <f>IF(B246="","","OCC-"&amp;TEXT(ROW()-1,"0000"))</f>
        <v/>
      </c>
      <c r="C246" s="5">
        <f>IFERROR(VLOOKUP(B246,Customers!A:B,2,FALSE),"")</f>
        <v/>
      </c>
      <c r="I246" s="5">
        <f>IFERROR(VLOOKUP(B246,Customers!A:L,12,FALSE),"")</f>
        <v/>
      </c>
    </row>
    <row r="247">
      <c r="A247" s="5">
        <f>IF(B247="","","OCC-"&amp;TEXT(ROW()-1,"0000"))</f>
        <v/>
      </c>
      <c r="C247" s="5">
        <f>IFERROR(VLOOKUP(B247,Customers!A:B,2,FALSE),"")</f>
        <v/>
      </c>
      <c r="I247" s="5">
        <f>IFERROR(VLOOKUP(B247,Customers!A:L,12,FALSE),"")</f>
        <v/>
      </c>
    </row>
    <row r="248">
      <c r="A248" s="5">
        <f>IF(B248="","","OCC-"&amp;TEXT(ROW()-1,"0000"))</f>
        <v/>
      </c>
      <c r="C248" s="5">
        <f>IFERROR(VLOOKUP(B248,Customers!A:B,2,FALSE),"")</f>
        <v/>
      </c>
      <c r="I248" s="5">
        <f>IFERROR(VLOOKUP(B248,Customers!A:L,12,FALSE),"")</f>
        <v/>
      </c>
    </row>
    <row r="249">
      <c r="A249" s="5">
        <f>IF(B249="","","OCC-"&amp;TEXT(ROW()-1,"0000"))</f>
        <v/>
      </c>
      <c r="C249" s="5">
        <f>IFERROR(VLOOKUP(B249,Customers!A:B,2,FALSE),"")</f>
        <v/>
      </c>
      <c r="I249" s="5">
        <f>IFERROR(VLOOKUP(B249,Customers!A:L,12,FALSE),"")</f>
        <v/>
      </c>
    </row>
    <row r="250">
      <c r="A250" s="5">
        <f>IF(B250="","","OCC-"&amp;TEXT(ROW()-1,"0000"))</f>
        <v/>
      </c>
      <c r="C250" s="5">
        <f>IFERROR(VLOOKUP(B250,Customers!A:B,2,FALSE),"")</f>
        <v/>
      </c>
      <c r="I250" s="5">
        <f>IFERROR(VLOOKUP(B250,Customers!A:L,12,FALSE),"")</f>
        <v/>
      </c>
    </row>
    <row r="251">
      <c r="A251" s="5">
        <f>IF(B251="","","OCC-"&amp;TEXT(ROW()-1,"0000"))</f>
        <v/>
      </c>
      <c r="C251" s="5">
        <f>IFERROR(VLOOKUP(B251,Customers!A:B,2,FALSE),"")</f>
        <v/>
      </c>
      <c r="I251" s="5">
        <f>IFERROR(VLOOKUP(B251,Customers!A:L,12,FALSE),"")</f>
        <v/>
      </c>
    </row>
    <row r="252">
      <c r="A252" s="5">
        <f>IF(B252="","","OCC-"&amp;TEXT(ROW()-1,"0000"))</f>
        <v/>
      </c>
      <c r="C252" s="5">
        <f>IFERROR(VLOOKUP(B252,Customers!A:B,2,FALSE),"")</f>
        <v/>
      </c>
      <c r="I252" s="5">
        <f>IFERROR(VLOOKUP(B252,Customers!A:L,12,FALSE),"")</f>
        <v/>
      </c>
    </row>
    <row r="253">
      <c r="A253" s="5">
        <f>IF(B253="","","OCC-"&amp;TEXT(ROW()-1,"0000"))</f>
        <v/>
      </c>
      <c r="C253" s="5">
        <f>IFERROR(VLOOKUP(B253,Customers!A:B,2,FALSE),"")</f>
        <v/>
      </c>
      <c r="I253" s="5">
        <f>IFERROR(VLOOKUP(B253,Customers!A:L,12,FALSE),"")</f>
        <v/>
      </c>
    </row>
    <row r="254">
      <c r="A254" s="5">
        <f>IF(B254="","","OCC-"&amp;TEXT(ROW()-1,"0000"))</f>
        <v/>
      </c>
      <c r="C254" s="5">
        <f>IFERROR(VLOOKUP(B254,Customers!A:B,2,FALSE),"")</f>
        <v/>
      </c>
      <c r="I254" s="5">
        <f>IFERROR(VLOOKUP(B254,Customers!A:L,12,FALSE),"")</f>
        <v/>
      </c>
    </row>
    <row r="255">
      <c r="A255" s="5">
        <f>IF(B255="","","OCC-"&amp;TEXT(ROW()-1,"0000"))</f>
        <v/>
      </c>
      <c r="C255" s="5">
        <f>IFERROR(VLOOKUP(B255,Customers!A:B,2,FALSE),"")</f>
        <v/>
      </c>
      <c r="I255" s="5">
        <f>IFERROR(VLOOKUP(B255,Customers!A:L,12,FALSE),"")</f>
        <v/>
      </c>
    </row>
    <row r="256">
      <c r="A256" s="5">
        <f>IF(B256="","","OCC-"&amp;TEXT(ROW()-1,"0000"))</f>
        <v/>
      </c>
      <c r="C256" s="5">
        <f>IFERROR(VLOOKUP(B256,Customers!A:B,2,FALSE),"")</f>
        <v/>
      </c>
      <c r="I256" s="5">
        <f>IFERROR(VLOOKUP(B256,Customers!A:L,12,FALSE),"")</f>
        <v/>
      </c>
    </row>
    <row r="257">
      <c r="A257" s="5">
        <f>IF(B257="","","OCC-"&amp;TEXT(ROW()-1,"0000"))</f>
        <v/>
      </c>
      <c r="C257" s="5">
        <f>IFERROR(VLOOKUP(B257,Customers!A:B,2,FALSE),"")</f>
        <v/>
      </c>
      <c r="I257" s="5">
        <f>IFERROR(VLOOKUP(B257,Customers!A:L,12,FALSE),"")</f>
        <v/>
      </c>
    </row>
    <row r="258">
      <c r="A258" s="5">
        <f>IF(B258="","","OCC-"&amp;TEXT(ROW()-1,"0000"))</f>
        <v/>
      </c>
      <c r="C258" s="5">
        <f>IFERROR(VLOOKUP(B258,Customers!A:B,2,FALSE),"")</f>
        <v/>
      </c>
      <c r="I258" s="5">
        <f>IFERROR(VLOOKUP(B258,Customers!A:L,12,FALSE),"")</f>
        <v/>
      </c>
    </row>
    <row r="259">
      <c r="A259" s="5">
        <f>IF(B259="","","OCC-"&amp;TEXT(ROW()-1,"0000"))</f>
        <v/>
      </c>
      <c r="C259" s="5">
        <f>IFERROR(VLOOKUP(B259,Customers!A:B,2,FALSE),"")</f>
        <v/>
      </c>
      <c r="I259" s="5">
        <f>IFERROR(VLOOKUP(B259,Customers!A:L,12,FALSE),"")</f>
        <v/>
      </c>
    </row>
    <row r="260">
      <c r="A260" s="5">
        <f>IF(B260="","","OCC-"&amp;TEXT(ROW()-1,"0000"))</f>
        <v/>
      </c>
      <c r="C260" s="5">
        <f>IFERROR(VLOOKUP(B260,Customers!A:B,2,FALSE),"")</f>
        <v/>
      </c>
      <c r="I260" s="5">
        <f>IFERROR(VLOOKUP(B260,Customers!A:L,12,FALSE),"")</f>
        <v/>
      </c>
    </row>
    <row r="261">
      <c r="A261" s="5">
        <f>IF(B261="","","OCC-"&amp;TEXT(ROW()-1,"0000"))</f>
        <v/>
      </c>
      <c r="C261" s="5">
        <f>IFERROR(VLOOKUP(B261,Customers!A:B,2,FALSE),"")</f>
        <v/>
      </c>
      <c r="I261" s="5">
        <f>IFERROR(VLOOKUP(B261,Customers!A:L,12,FALSE),"")</f>
        <v/>
      </c>
    </row>
    <row r="262">
      <c r="A262" s="5">
        <f>IF(B262="","","OCC-"&amp;TEXT(ROW()-1,"0000"))</f>
        <v/>
      </c>
      <c r="C262" s="5">
        <f>IFERROR(VLOOKUP(B262,Customers!A:B,2,FALSE),"")</f>
        <v/>
      </c>
      <c r="I262" s="5">
        <f>IFERROR(VLOOKUP(B262,Customers!A:L,12,FALSE),"")</f>
        <v/>
      </c>
    </row>
    <row r="263">
      <c r="A263" s="5">
        <f>IF(B263="","","OCC-"&amp;TEXT(ROW()-1,"0000"))</f>
        <v/>
      </c>
      <c r="C263" s="5">
        <f>IFERROR(VLOOKUP(B263,Customers!A:B,2,FALSE),"")</f>
        <v/>
      </c>
      <c r="I263" s="5">
        <f>IFERROR(VLOOKUP(B263,Customers!A:L,12,FALSE),"")</f>
        <v/>
      </c>
    </row>
    <row r="264">
      <c r="A264" s="5">
        <f>IF(B264="","","OCC-"&amp;TEXT(ROW()-1,"0000"))</f>
        <v/>
      </c>
      <c r="C264" s="5">
        <f>IFERROR(VLOOKUP(B264,Customers!A:B,2,FALSE),"")</f>
        <v/>
      </c>
      <c r="I264" s="5">
        <f>IFERROR(VLOOKUP(B264,Customers!A:L,12,FALSE),"")</f>
        <v/>
      </c>
    </row>
    <row r="265">
      <c r="A265" s="5">
        <f>IF(B265="","","OCC-"&amp;TEXT(ROW()-1,"0000"))</f>
        <v/>
      </c>
      <c r="C265" s="5">
        <f>IFERROR(VLOOKUP(B265,Customers!A:B,2,FALSE),"")</f>
        <v/>
      </c>
      <c r="I265" s="5">
        <f>IFERROR(VLOOKUP(B265,Customers!A:L,12,FALSE),"")</f>
        <v/>
      </c>
    </row>
    <row r="266">
      <c r="A266" s="5">
        <f>IF(B266="","","OCC-"&amp;TEXT(ROW()-1,"0000"))</f>
        <v/>
      </c>
      <c r="C266" s="5">
        <f>IFERROR(VLOOKUP(B266,Customers!A:B,2,FALSE),"")</f>
        <v/>
      </c>
      <c r="I266" s="5">
        <f>IFERROR(VLOOKUP(B266,Customers!A:L,12,FALSE),"")</f>
        <v/>
      </c>
    </row>
    <row r="267">
      <c r="A267" s="5">
        <f>IF(B267="","","OCC-"&amp;TEXT(ROW()-1,"0000"))</f>
        <v/>
      </c>
      <c r="C267" s="5">
        <f>IFERROR(VLOOKUP(B267,Customers!A:B,2,FALSE),"")</f>
        <v/>
      </c>
      <c r="I267" s="5">
        <f>IFERROR(VLOOKUP(B267,Customers!A:L,12,FALSE),"")</f>
        <v/>
      </c>
    </row>
    <row r="268">
      <c r="A268" s="5">
        <f>IF(B268="","","OCC-"&amp;TEXT(ROW()-1,"0000"))</f>
        <v/>
      </c>
      <c r="C268" s="5">
        <f>IFERROR(VLOOKUP(B268,Customers!A:B,2,FALSE),"")</f>
        <v/>
      </c>
      <c r="I268" s="5">
        <f>IFERROR(VLOOKUP(B268,Customers!A:L,12,FALSE),"")</f>
        <v/>
      </c>
    </row>
    <row r="269">
      <c r="A269" s="5">
        <f>IF(B269="","","OCC-"&amp;TEXT(ROW()-1,"0000"))</f>
        <v/>
      </c>
      <c r="C269" s="5">
        <f>IFERROR(VLOOKUP(B269,Customers!A:B,2,FALSE),"")</f>
        <v/>
      </c>
      <c r="I269" s="5">
        <f>IFERROR(VLOOKUP(B269,Customers!A:L,12,FALSE),"")</f>
        <v/>
      </c>
    </row>
    <row r="270">
      <c r="A270" s="5">
        <f>IF(B270="","","OCC-"&amp;TEXT(ROW()-1,"0000"))</f>
        <v/>
      </c>
      <c r="C270" s="5">
        <f>IFERROR(VLOOKUP(B270,Customers!A:B,2,FALSE),"")</f>
        <v/>
      </c>
      <c r="I270" s="5">
        <f>IFERROR(VLOOKUP(B270,Customers!A:L,12,FALSE),"")</f>
        <v/>
      </c>
    </row>
    <row r="271">
      <c r="A271" s="5">
        <f>IF(B271="","","OCC-"&amp;TEXT(ROW()-1,"0000"))</f>
        <v/>
      </c>
      <c r="C271" s="5">
        <f>IFERROR(VLOOKUP(B271,Customers!A:B,2,FALSE),"")</f>
        <v/>
      </c>
      <c r="I271" s="5">
        <f>IFERROR(VLOOKUP(B271,Customers!A:L,12,FALSE),"")</f>
        <v/>
      </c>
    </row>
    <row r="272">
      <c r="A272" s="5">
        <f>IF(B272="","","OCC-"&amp;TEXT(ROW()-1,"0000"))</f>
        <v/>
      </c>
      <c r="C272" s="5">
        <f>IFERROR(VLOOKUP(B272,Customers!A:B,2,FALSE),"")</f>
        <v/>
      </c>
      <c r="I272" s="5">
        <f>IFERROR(VLOOKUP(B272,Customers!A:L,12,FALSE),"")</f>
        <v/>
      </c>
    </row>
    <row r="273">
      <c r="A273" s="5">
        <f>IF(B273="","","OCC-"&amp;TEXT(ROW()-1,"0000"))</f>
        <v/>
      </c>
      <c r="C273" s="5">
        <f>IFERROR(VLOOKUP(B273,Customers!A:B,2,FALSE),"")</f>
        <v/>
      </c>
      <c r="I273" s="5">
        <f>IFERROR(VLOOKUP(B273,Customers!A:L,12,FALSE),"")</f>
        <v/>
      </c>
    </row>
    <row r="274">
      <c r="A274" s="5">
        <f>IF(B274="","","OCC-"&amp;TEXT(ROW()-1,"0000"))</f>
        <v/>
      </c>
      <c r="C274" s="5">
        <f>IFERROR(VLOOKUP(B274,Customers!A:B,2,FALSE),"")</f>
        <v/>
      </c>
      <c r="I274" s="5">
        <f>IFERROR(VLOOKUP(B274,Customers!A:L,12,FALSE),"")</f>
        <v/>
      </c>
    </row>
    <row r="275">
      <c r="A275" s="5">
        <f>IF(B275="","","OCC-"&amp;TEXT(ROW()-1,"0000"))</f>
        <v/>
      </c>
      <c r="C275" s="5">
        <f>IFERROR(VLOOKUP(B275,Customers!A:B,2,FALSE),"")</f>
        <v/>
      </c>
      <c r="I275" s="5">
        <f>IFERROR(VLOOKUP(B275,Customers!A:L,12,FALSE),"")</f>
        <v/>
      </c>
    </row>
    <row r="276">
      <c r="A276" s="5">
        <f>IF(B276="","","OCC-"&amp;TEXT(ROW()-1,"0000"))</f>
        <v/>
      </c>
      <c r="C276" s="5">
        <f>IFERROR(VLOOKUP(B276,Customers!A:B,2,FALSE),"")</f>
        <v/>
      </c>
      <c r="I276" s="5">
        <f>IFERROR(VLOOKUP(B276,Customers!A:L,12,FALSE),"")</f>
        <v/>
      </c>
    </row>
    <row r="277">
      <c r="A277" s="5">
        <f>IF(B277="","","OCC-"&amp;TEXT(ROW()-1,"0000"))</f>
        <v/>
      </c>
      <c r="C277" s="5">
        <f>IFERROR(VLOOKUP(B277,Customers!A:B,2,FALSE),"")</f>
        <v/>
      </c>
      <c r="I277" s="5">
        <f>IFERROR(VLOOKUP(B277,Customers!A:L,12,FALSE),"")</f>
        <v/>
      </c>
    </row>
    <row r="278">
      <c r="A278" s="5">
        <f>IF(B278="","","OCC-"&amp;TEXT(ROW()-1,"0000"))</f>
        <v/>
      </c>
      <c r="C278" s="5">
        <f>IFERROR(VLOOKUP(B278,Customers!A:B,2,FALSE),"")</f>
        <v/>
      </c>
      <c r="I278" s="5">
        <f>IFERROR(VLOOKUP(B278,Customers!A:L,12,FALSE),"")</f>
        <v/>
      </c>
    </row>
    <row r="279">
      <c r="A279" s="5">
        <f>IF(B279="","","OCC-"&amp;TEXT(ROW()-1,"0000"))</f>
        <v/>
      </c>
      <c r="C279" s="5">
        <f>IFERROR(VLOOKUP(B279,Customers!A:B,2,FALSE),"")</f>
        <v/>
      </c>
      <c r="I279" s="5">
        <f>IFERROR(VLOOKUP(B279,Customers!A:L,12,FALSE),"")</f>
        <v/>
      </c>
    </row>
    <row r="280">
      <c r="A280" s="5">
        <f>IF(B280="","","OCC-"&amp;TEXT(ROW()-1,"0000"))</f>
        <v/>
      </c>
      <c r="C280" s="5">
        <f>IFERROR(VLOOKUP(B280,Customers!A:B,2,FALSE),"")</f>
        <v/>
      </c>
      <c r="I280" s="5">
        <f>IFERROR(VLOOKUP(B280,Customers!A:L,12,FALSE),"")</f>
        <v/>
      </c>
    </row>
    <row r="281">
      <c r="A281" s="5">
        <f>IF(B281="","","OCC-"&amp;TEXT(ROW()-1,"0000"))</f>
        <v/>
      </c>
      <c r="C281" s="5">
        <f>IFERROR(VLOOKUP(B281,Customers!A:B,2,FALSE),"")</f>
        <v/>
      </c>
      <c r="I281" s="5">
        <f>IFERROR(VLOOKUP(B281,Customers!A:L,12,FALSE),"")</f>
        <v/>
      </c>
    </row>
    <row r="282">
      <c r="A282" s="5">
        <f>IF(B282="","","OCC-"&amp;TEXT(ROW()-1,"0000"))</f>
        <v/>
      </c>
      <c r="C282" s="5">
        <f>IFERROR(VLOOKUP(B282,Customers!A:B,2,FALSE),"")</f>
        <v/>
      </c>
      <c r="I282" s="5">
        <f>IFERROR(VLOOKUP(B282,Customers!A:L,12,FALSE),"")</f>
        <v/>
      </c>
    </row>
    <row r="283">
      <c r="A283" s="5">
        <f>IF(B283="","","OCC-"&amp;TEXT(ROW()-1,"0000"))</f>
        <v/>
      </c>
      <c r="C283" s="5">
        <f>IFERROR(VLOOKUP(B283,Customers!A:B,2,FALSE),"")</f>
        <v/>
      </c>
      <c r="I283" s="5">
        <f>IFERROR(VLOOKUP(B283,Customers!A:L,12,FALSE),"")</f>
        <v/>
      </c>
    </row>
    <row r="284">
      <c r="A284" s="5">
        <f>IF(B284="","","OCC-"&amp;TEXT(ROW()-1,"0000"))</f>
        <v/>
      </c>
      <c r="C284" s="5">
        <f>IFERROR(VLOOKUP(B284,Customers!A:B,2,FALSE),"")</f>
        <v/>
      </c>
      <c r="I284" s="5">
        <f>IFERROR(VLOOKUP(B284,Customers!A:L,12,FALSE),"")</f>
        <v/>
      </c>
    </row>
    <row r="285">
      <c r="A285" s="5">
        <f>IF(B285="","","OCC-"&amp;TEXT(ROW()-1,"0000"))</f>
        <v/>
      </c>
      <c r="C285" s="5">
        <f>IFERROR(VLOOKUP(B285,Customers!A:B,2,FALSE),"")</f>
        <v/>
      </c>
      <c r="I285" s="5">
        <f>IFERROR(VLOOKUP(B285,Customers!A:L,12,FALSE),"")</f>
        <v/>
      </c>
    </row>
    <row r="286">
      <c r="A286" s="5">
        <f>IF(B286="","","OCC-"&amp;TEXT(ROW()-1,"0000"))</f>
        <v/>
      </c>
      <c r="C286" s="5">
        <f>IFERROR(VLOOKUP(B286,Customers!A:B,2,FALSE),"")</f>
        <v/>
      </c>
      <c r="I286" s="5">
        <f>IFERROR(VLOOKUP(B286,Customers!A:L,12,FALSE),"")</f>
        <v/>
      </c>
    </row>
    <row r="287">
      <c r="A287" s="5">
        <f>IF(B287="","","OCC-"&amp;TEXT(ROW()-1,"0000"))</f>
        <v/>
      </c>
      <c r="C287" s="5">
        <f>IFERROR(VLOOKUP(B287,Customers!A:B,2,FALSE),"")</f>
        <v/>
      </c>
      <c r="I287" s="5">
        <f>IFERROR(VLOOKUP(B287,Customers!A:L,12,FALSE),"")</f>
        <v/>
      </c>
    </row>
    <row r="288">
      <c r="A288" s="5">
        <f>IF(B288="","","OCC-"&amp;TEXT(ROW()-1,"0000"))</f>
        <v/>
      </c>
      <c r="C288" s="5">
        <f>IFERROR(VLOOKUP(B288,Customers!A:B,2,FALSE),"")</f>
        <v/>
      </c>
      <c r="I288" s="5">
        <f>IFERROR(VLOOKUP(B288,Customers!A:L,12,FALSE),"")</f>
        <v/>
      </c>
    </row>
    <row r="289">
      <c r="A289" s="5">
        <f>IF(B289="","","OCC-"&amp;TEXT(ROW()-1,"0000"))</f>
        <v/>
      </c>
      <c r="C289" s="5">
        <f>IFERROR(VLOOKUP(B289,Customers!A:B,2,FALSE),"")</f>
        <v/>
      </c>
      <c r="I289" s="5">
        <f>IFERROR(VLOOKUP(B289,Customers!A:L,12,FALSE),"")</f>
        <v/>
      </c>
    </row>
    <row r="290">
      <c r="A290" s="5">
        <f>IF(B290="","","OCC-"&amp;TEXT(ROW()-1,"0000"))</f>
        <v/>
      </c>
      <c r="C290" s="5">
        <f>IFERROR(VLOOKUP(B290,Customers!A:B,2,FALSE),"")</f>
        <v/>
      </c>
      <c r="I290" s="5">
        <f>IFERROR(VLOOKUP(B290,Customers!A:L,12,FALSE),"")</f>
        <v/>
      </c>
    </row>
    <row r="291">
      <c r="A291" s="5">
        <f>IF(B291="","","OCC-"&amp;TEXT(ROW()-1,"0000"))</f>
        <v/>
      </c>
      <c r="C291" s="5">
        <f>IFERROR(VLOOKUP(B291,Customers!A:B,2,FALSE),"")</f>
        <v/>
      </c>
      <c r="I291" s="5">
        <f>IFERROR(VLOOKUP(B291,Customers!A:L,12,FALSE),"")</f>
        <v/>
      </c>
    </row>
    <row r="292">
      <c r="A292" s="5">
        <f>IF(B292="","","OCC-"&amp;TEXT(ROW()-1,"0000"))</f>
        <v/>
      </c>
      <c r="C292" s="5">
        <f>IFERROR(VLOOKUP(B292,Customers!A:B,2,FALSE),"")</f>
        <v/>
      </c>
      <c r="I292" s="5">
        <f>IFERROR(VLOOKUP(B292,Customers!A:L,12,FALSE),"")</f>
        <v/>
      </c>
    </row>
    <row r="293">
      <c r="A293" s="5">
        <f>IF(B293="","","OCC-"&amp;TEXT(ROW()-1,"0000"))</f>
        <v/>
      </c>
      <c r="C293" s="5">
        <f>IFERROR(VLOOKUP(B293,Customers!A:B,2,FALSE),"")</f>
        <v/>
      </c>
      <c r="I293" s="5">
        <f>IFERROR(VLOOKUP(B293,Customers!A:L,12,FALSE),"")</f>
        <v/>
      </c>
    </row>
    <row r="294">
      <c r="A294" s="5">
        <f>IF(B294="","","OCC-"&amp;TEXT(ROW()-1,"0000"))</f>
        <v/>
      </c>
      <c r="C294" s="5">
        <f>IFERROR(VLOOKUP(B294,Customers!A:B,2,FALSE),"")</f>
        <v/>
      </c>
      <c r="I294" s="5">
        <f>IFERROR(VLOOKUP(B294,Customers!A:L,12,FALSE),"")</f>
        <v/>
      </c>
    </row>
    <row r="295">
      <c r="A295" s="5">
        <f>IF(B295="","","OCC-"&amp;TEXT(ROW()-1,"0000"))</f>
        <v/>
      </c>
      <c r="C295" s="5">
        <f>IFERROR(VLOOKUP(B295,Customers!A:B,2,FALSE),"")</f>
        <v/>
      </c>
      <c r="I295" s="5">
        <f>IFERROR(VLOOKUP(B295,Customers!A:L,12,FALSE),"")</f>
        <v/>
      </c>
    </row>
    <row r="296">
      <c r="A296" s="5">
        <f>IF(B296="","","OCC-"&amp;TEXT(ROW()-1,"0000"))</f>
        <v/>
      </c>
      <c r="C296" s="5">
        <f>IFERROR(VLOOKUP(B296,Customers!A:B,2,FALSE),"")</f>
        <v/>
      </c>
      <c r="I296" s="5">
        <f>IFERROR(VLOOKUP(B296,Customers!A:L,12,FALSE),"")</f>
        <v/>
      </c>
    </row>
    <row r="297">
      <c r="A297" s="5">
        <f>IF(B297="","","OCC-"&amp;TEXT(ROW()-1,"0000"))</f>
        <v/>
      </c>
      <c r="C297" s="5">
        <f>IFERROR(VLOOKUP(B297,Customers!A:B,2,FALSE),"")</f>
        <v/>
      </c>
      <c r="I297" s="5">
        <f>IFERROR(VLOOKUP(B297,Customers!A:L,12,FALSE),"")</f>
        <v/>
      </c>
    </row>
    <row r="298">
      <c r="A298" s="5">
        <f>IF(B298="","","OCC-"&amp;TEXT(ROW()-1,"0000"))</f>
        <v/>
      </c>
      <c r="C298" s="5">
        <f>IFERROR(VLOOKUP(B298,Customers!A:B,2,FALSE),"")</f>
        <v/>
      </c>
      <c r="I298" s="5">
        <f>IFERROR(VLOOKUP(B298,Customers!A:L,12,FALSE),"")</f>
        <v/>
      </c>
    </row>
    <row r="299">
      <c r="A299" s="5">
        <f>IF(B299="","","OCC-"&amp;TEXT(ROW()-1,"0000"))</f>
        <v/>
      </c>
      <c r="C299" s="5">
        <f>IFERROR(VLOOKUP(B299,Customers!A:B,2,FALSE),"")</f>
        <v/>
      </c>
      <c r="I299" s="5">
        <f>IFERROR(VLOOKUP(B299,Customers!A:L,12,FALSE),"")</f>
        <v/>
      </c>
    </row>
    <row r="300">
      <c r="A300" s="5">
        <f>IF(B300="","","OCC-"&amp;TEXT(ROW()-1,"0000"))</f>
        <v/>
      </c>
      <c r="C300" s="5">
        <f>IFERROR(VLOOKUP(B300,Customers!A:B,2,FALSE),"")</f>
        <v/>
      </c>
      <c r="I300" s="5">
        <f>IFERROR(VLOOKUP(B300,Customers!A:L,12,FALSE),"")</f>
        <v/>
      </c>
    </row>
    <row r="301">
      <c r="A301" s="5">
        <f>IF(B301="","","OCC-"&amp;TEXT(ROW()-1,"0000"))</f>
        <v/>
      </c>
      <c r="C301" s="5">
        <f>IFERROR(VLOOKUP(B301,Customers!A:B,2,FALSE),"")</f>
        <v/>
      </c>
      <c r="I301" s="5">
        <f>IFERROR(VLOOKUP(B301,Customers!A:L,12,FALSE),"")</f>
        <v/>
      </c>
    </row>
    <row r="302">
      <c r="A302" s="5">
        <f>IF(B302="","","OCC-"&amp;TEXT(ROW()-1,"0000"))</f>
        <v/>
      </c>
      <c r="C302" s="5">
        <f>IFERROR(VLOOKUP(B302,Customers!A:B,2,FALSE),"")</f>
        <v/>
      </c>
      <c r="I302" s="5">
        <f>IFERROR(VLOOKUP(B302,Customers!A:L,12,FALSE),"")</f>
        <v/>
      </c>
    </row>
    <row r="303">
      <c r="A303" s="5">
        <f>IF(B303="","","OCC-"&amp;TEXT(ROW()-1,"0000"))</f>
        <v/>
      </c>
      <c r="C303" s="5">
        <f>IFERROR(VLOOKUP(B303,Customers!A:B,2,FALSE),"")</f>
        <v/>
      </c>
      <c r="I303" s="5">
        <f>IFERROR(VLOOKUP(B303,Customers!A:L,12,FALSE),"")</f>
        <v/>
      </c>
    </row>
    <row r="304">
      <c r="A304" s="5">
        <f>IF(B304="","","OCC-"&amp;TEXT(ROW()-1,"0000"))</f>
        <v/>
      </c>
      <c r="C304" s="5">
        <f>IFERROR(VLOOKUP(B304,Customers!A:B,2,FALSE),"")</f>
        <v/>
      </c>
      <c r="I304" s="5">
        <f>IFERROR(VLOOKUP(B304,Customers!A:L,12,FALSE),"")</f>
        <v/>
      </c>
    </row>
    <row r="305">
      <c r="A305" s="5">
        <f>IF(B305="","","OCC-"&amp;TEXT(ROW()-1,"0000"))</f>
        <v/>
      </c>
      <c r="C305" s="5">
        <f>IFERROR(VLOOKUP(B305,Customers!A:B,2,FALSE),"")</f>
        <v/>
      </c>
      <c r="I305" s="5">
        <f>IFERROR(VLOOKUP(B305,Customers!A:L,12,FALSE),"")</f>
        <v/>
      </c>
    </row>
    <row r="306">
      <c r="A306" s="5">
        <f>IF(B306="","","OCC-"&amp;TEXT(ROW()-1,"0000"))</f>
        <v/>
      </c>
      <c r="C306" s="5">
        <f>IFERROR(VLOOKUP(B306,Customers!A:B,2,FALSE),"")</f>
        <v/>
      </c>
      <c r="I306" s="5">
        <f>IFERROR(VLOOKUP(B306,Customers!A:L,12,FALSE),"")</f>
        <v/>
      </c>
    </row>
    <row r="307">
      <c r="A307" s="5">
        <f>IF(B307="","","OCC-"&amp;TEXT(ROW()-1,"0000"))</f>
        <v/>
      </c>
      <c r="C307" s="5">
        <f>IFERROR(VLOOKUP(B307,Customers!A:B,2,FALSE),"")</f>
        <v/>
      </c>
      <c r="I307" s="5">
        <f>IFERROR(VLOOKUP(B307,Customers!A:L,12,FALSE),"")</f>
        <v/>
      </c>
    </row>
    <row r="308">
      <c r="A308" s="5">
        <f>IF(B308="","","OCC-"&amp;TEXT(ROW()-1,"0000"))</f>
        <v/>
      </c>
      <c r="C308" s="5">
        <f>IFERROR(VLOOKUP(B308,Customers!A:B,2,FALSE),"")</f>
        <v/>
      </c>
      <c r="I308" s="5">
        <f>IFERROR(VLOOKUP(B308,Customers!A:L,12,FALSE),"")</f>
        <v/>
      </c>
    </row>
    <row r="309">
      <c r="A309" s="5">
        <f>IF(B309="","","OCC-"&amp;TEXT(ROW()-1,"0000"))</f>
        <v/>
      </c>
      <c r="C309" s="5">
        <f>IFERROR(VLOOKUP(B309,Customers!A:B,2,FALSE),"")</f>
        <v/>
      </c>
      <c r="I309" s="5">
        <f>IFERROR(VLOOKUP(B309,Customers!A:L,12,FALSE),"")</f>
        <v/>
      </c>
    </row>
    <row r="310">
      <c r="A310" s="5">
        <f>IF(B310="","","OCC-"&amp;TEXT(ROW()-1,"0000"))</f>
        <v/>
      </c>
      <c r="C310" s="5">
        <f>IFERROR(VLOOKUP(B310,Customers!A:B,2,FALSE),"")</f>
        <v/>
      </c>
      <c r="I310" s="5">
        <f>IFERROR(VLOOKUP(B310,Customers!A:L,12,FALSE),"")</f>
        <v/>
      </c>
    </row>
    <row r="311">
      <c r="A311" s="5">
        <f>IF(B311="","","OCC-"&amp;TEXT(ROW()-1,"0000"))</f>
        <v/>
      </c>
      <c r="C311" s="5">
        <f>IFERROR(VLOOKUP(B311,Customers!A:B,2,FALSE),"")</f>
        <v/>
      </c>
      <c r="I311" s="5">
        <f>IFERROR(VLOOKUP(B311,Customers!A:L,12,FALSE),"")</f>
        <v/>
      </c>
    </row>
    <row r="312">
      <c r="A312" s="5">
        <f>IF(B312="","","OCC-"&amp;TEXT(ROW()-1,"0000"))</f>
        <v/>
      </c>
      <c r="C312" s="5">
        <f>IFERROR(VLOOKUP(B312,Customers!A:B,2,FALSE),"")</f>
        <v/>
      </c>
      <c r="I312" s="5">
        <f>IFERROR(VLOOKUP(B312,Customers!A:L,12,FALSE),"")</f>
        <v/>
      </c>
    </row>
    <row r="313">
      <c r="A313" s="5">
        <f>IF(B313="","","OCC-"&amp;TEXT(ROW()-1,"0000"))</f>
        <v/>
      </c>
      <c r="C313" s="5">
        <f>IFERROR(VLOOKUP(B313,Customers!A:B,2,FALSE),"")</f>
        <v/>
      </c>
      <c r="I313" s="5">
        <f>IFERROR(VLOOKUP(B313,Customers!A:L,12,FALSE),"")</f>
        <v/>
      </c>
    </row>
    <row r="314">
      <c r="A314" s="5">
        <f>IF(B314="","","OCC-"&amp;TEXT(ROW()-1,"0000"))</f>
        <v/>
      </c>
      <c r="C314" s="5">
        <f>IFERROR(VLOOKUP(B314,Customers!A:B,2,FALSE),"")</f>
        <v/>
      </c>
      <c r="I314" s="5">
        <f>IFERROR(VLOOKUP(B314,Customers!A:L,12,FALSE),"")</f>
        <v/>
      </c>
    </row>
    <row r="315">
      <c r="A315" s="5">
        <f>IF(B315="","","OCC-"&amp;TEXT(ROW()-1,"0000"))</f>
        <v/>
      </c>
      <c r="C315" s="5">
        <f>IFERROR(VLOOKUP(B315,Customers!A:B,2,FALSE),"")</f>
        <v/>
      </c>
      <c r="I315" s="5">
        <f>IFERROR(VLOOKUP(B315,Customers!A:L,12,FALSE),"")</f>
        <v/>
      </c>
    </row>
    <row r="316">
      <c r="A316" s="5">
        <f>IF(B316="","","OCC-"&amp;TEXT(ROW()-1,"0000"))</f>
        <v/>
      </c>
      <c r="C316" s="5">
        <f>IFERROR(VLOOKUP(B316,Customers!A:B,2,FALSE),"")</f>
        <v/>
      </c>
      <c r="I316" s="5">
        <f>IFERROR(VLOOKUP(B316,Customers!A:L,12,FALSE),"")</f>
        <v/>
      </c>
    </row>
    <row r="317">
      <c r="A317" s="5">
        <f>IF(B317="","","OCC-"&amp;TEXT(ROW()-1,"0000"))</f>
        <v/>
      </c>
      <c r="C317" s="5">
        <f>IFERROR(VLOOKUP(B317,Customers!A:B,2,FALSE),"")</f>
        <v/>
      </c>
      <c r="I317" s="5">
        <f>IFERROR(VLOOKUP(B317,Customers!A:L,12,FALSE),"")</f>
        <v/>
      </c>
    </row>
    <row r="318">
      <c r="A318" s="5">
        <f>IF(B318="","","OCC-"&amp;TEXT(ROW()-1,"0000"))</f>
        <v/>
      </c>
      <c r="C318" s="5">
        <f>IFERROR(VLOOKUP(B318,Customers!A:B,2,FALSE),"")</f>
        <v/>
      </c>
      <c r="I318" s="5">
        <f>IFERROR(VLOOKUP(B318,Customers!A:L,12,FALSE),"")</f>
        <v/>
      </c>
    </row>
    <row r="319">
      <c r="A319" s="5">
        <f>IF(B319="","","OCC-"&amp;TEXT(ROW()-1,"0000"))</f>
        <v/>
      </c>
      <c r="C319" s="5">
        <f>IFERROR(VLOOKUP(B319,Customers!A:B,2,FALSE),"")</f>
        <v/>
      </c>
      <c r="I319" s="5">
        <f>IFERROR(VLOOKUP(B319,Customers!A:L,12,FALSE),"")</f>
        <v/>
      </c>
    </row>
    <row r="320">
      <c r="A320" s="5">
        <f>IF(B320="","","OCC-"&amp;TEXT(ROW()-1,"0000"))</f>
        <v/>
      </c>
      <c r="C320" s="5">
        <f>IFERROR(VLOOKUP(B320,Customers!A:B,2,FALSE),"")</f>
        <v/>
      </c>
      <c r="I320" s="5">
        <f>IFERROR(VLOOKUP(B320,Customers!A:L,12,FALSE),"")</f>
        <v/>
      </c>
    </row>
    <row r="321">
      <c r="A321" s="5">
        <f>IF(B321="","","OCC-"&amp;TEXT(ROW()-1,"0000"))</f>
        <v/>
      </c>
      <c r="C321" s="5">
        <f>IFERROR(VLOOKUP(B321,Customers!A:B,2,FALSE),"")</f>
        <v/>
      </c>
      <c r="I321" s="5">
        <f>IFERROR(VLOOKUP(B321,Customers!A:L,12,FALSE),"")</f>
        <v/>
      </c>
    </row>
    <row r="322">
      <c r="A322" s="5">
        <f>IF(B322="","","OCC-"&amp;TEXT(ROW()-1,"0000"))</f>
        <v/>
      </c>
      <c r="C322" s="5">
        <f>IFERROR(VLOOKUP(B322,Customers!A:B,2,FALSE),"")</f>
        <v/>
      </c>
      <c r="I322" s="5">
        <f>IFERROR(VLOOKUP(B322,Customers!A:L,12,FALSE),"")</f>
        <v/>
      </c>
    </row>
    <row r="323">
      <c r="A323" s="5">
        <f>IF(B323="","","OCC-"&amp;TEXT(ROW()-1,"0000"))</f>
        <v/>
      </c>
      <c r="C323" s="5">
        <f>IFERROR(VLOOKUP(B323,Customers!A:B,2,FALSE),"")</f>
        <v/>
      </c>
      <c r="I323" s="5">
        <f>IFERROR(VLOOKUP(B323,Customers!A:L,12,FALSE),"")</f>
        <v/>
      </c>
    </row>
    <row r="324">
      <c r="A324" s="5">
        <f>IF(B324="","","OCC-"&amp;TEXT(ROW()-1,"0000"))</f>
        <v/>
      </c>
      <c r="C324" s="5">
        <f>IFERROR(VLOOKUP(B324,Customers!A:B,2,FALSE),"")</f>
        <v/>
      </c>
      <c r="I324" s="5">
        <f>IFERROR(VLOOKUP(B324,Customers!A:L,12,FALSE),"")</f>
        <v/>
      </c>
    </row>
    <row r="325">
      <c r="A325" s="5">
        <f>IF(B325="","","OCC-"&amp;TEXT(ROW()-1,"0000"))</f>
        <v/>
      </c>
      <c r="C325" s="5">
        <f>IFERROR(VLOOKUP(B325,Customers!A:B,2,FALSE),"")</f>
        <v/>
      </c>
      <c r="I325" s="5">
        <f>IFERROR(VLOOKUP(B325,Customers!A:L,12,FALSE),"")</f>
        <v/>
      </c>
    </row>
    <row r="326">
      <c r="A326" s="5">
        <f>IF(B326="","","OCC-"&amp;TEXT(ROW()-1,"0000"))</f>
        <v/>
      </c>
      <c r="C326" s="5">
        <f>IFERROR(VLOOKUP(B326,Customers!A:B,2,FALSE),"")</f>
        <v/>
      </c>
      <c r="I326" s="5">
        <f>IFERROR(VLOOKUP(B326,Customers!A:L,12,FALSE),"")</f>
        <v/>
      </c>
    </row>
    <row r="327">
      <c r="A327" s="5">
        <f>IF(B327="","","OCC-"&amp;TEXT(ROW()-1,"0000"))</f>
        <v/>
      </c>
      <c r="C327" s="5">
        <f>IFERROR(VLOOKUP(B327,Customers!A:B,2,FALSE),"")</f>
        <v/>
      </c>
      <c r="I327" s="5">
        <f>IFERROR(VLOOKUP(B327,Customers!A:L,12,FALSE),"")</f>
        <v/>
      </c>
    </row>
    <row r="328">
      <c r="A328" s="5">
        <f>IF(B328="","","OCC-"&amp;TEXT(ROW()-1,"0000"))</f>
        <v/>
      </c>
      <c r="C328" s="5">
        <f>IFERROR(VLOOKUP(B328,Customers!A:B,2,FALSE),"")</f>
        <v/>
      </c>
      <c r="I328" s="5">
        <f>IFERROR(VLOOKUP(B328,Customers!A:L,12,FALSE),"")</f>
        <v/>
      </c>
    </row>
    <row r="329">
      <c r="A329" s="5">
        <f>IF(B329="","","OCC-"&amp;TEXT(ROW()-1,"0000"))</f>
        <v/>
      </c>
      <c r="C329" s="5">
        <f>IFERROR(VLOOKUP(B329,Customers!A:B,2,FALSE),"")</f>
        <v/>
      </c>
      <c r="I329" s="5">
        <f>IFERROR(VLOOKUP(B329,Customers!A:L,12,FALSE),"")</f>
        <v/>
      </c>
    </row>
    <row r="330">
      <c r="A330" s="5">
        <f>IF(B330="","","OCC-"&amp;TEXT(ROW()-1,"0000"))</f>
        <v/>
      </c>
      <c r="C330" s="5">
        <f>IFERROR(VLOOKUP(B330,Customers!A:B,2,FALSE),"")</f>
        <v/>
      </c>
      <c r="I330" s="5">
        <f>IFERROR(VLOOKUP(B330,Customers!A:L,12,FALSE),"")</f>
        <v/>
      </c>
    </row>
    <row r="331">
      <c r="A331" s="5">
        <f>IF(B331="","","OCC-"&amp;TEXT(ROW()-1,"0000"))</f>
        <v/>
      </c>
      <c r="C331" s="5">
        <f>IFERROR(VLOOKUP(B331,Customers!A:B,2,FALSE),"")</f>
        <v/>
      </c>
      <c r="I331" s="5">
        <f>IFERROR(VLOOKUP(B331,Customers!A:L,12,FALSE),"")</f>
        <v/>
      </c>
    </row>
    <row r="332">
      <c r="A332" s="5">
        <f>IF(B332="","","OCC-"&amp;TEXT(ROW()-1,"0000"))</f>
        <v/>
      </c>
      <c r="C332" s="5">
        <f>IFERROR(VLOOKUP(B332,Customers!A:B,2,FALSE),"")</f>
        <v/>
      </c>
      <c r="I332" s="5">
        <f>IFERROR(VLOOKUP(B332,Customers!A:L,12,FALSE),"")</f>
        <v/>
      </c>
    </row>
    <row r="333">
      <c r="A333" s="5">
        <f>IF(B333="","","OCC-"&amp;TEXT(ROW()-1,"0000"))</f>
        <v/>
      </c>
      <c r="C333" s="5">
        <f>IFERROR(VLOOKUP(B333,Customers!A:B,2,FALSE),"")</f>
        <v/>
      </c>
      <c r="I333" s="5">
        <f>IFERROR(VLOOKUP(B333,Customers!A:L,12,FALSE),"")</f>
        <v/>
      </c>
    </row>
    <row r="334">
      <c r="A334" s="5">
        <f>IF(B334="","","OCC-"&amp;TEXT(ROW()-1,"0000"))</f>
        <v/>
      </c>
      <c r="C334" s="5">
        <f>IFERROR(VLOOKUP(B334,Customers!A:B,2,FALSE),"")</f>
        <v/>
      </c>
      <c r="I334" s="5">
        <f>IFERROR(VLOOKUP(B334,Customers!A:L,12,FALSE),"")</f>
        <v/>
      </c>
    </row>
    <row r="335">
      <c r="A335" s="5">
        <f>IF(B335="","","OCC-"&amp;TEXT(ROW()-1,"0000"))</f>
        <v/>
      </c>
      <c r="C335" s="5">
        <f>IFERROR(VLOOKUP(B335,Customers!A:B,2,FALSE),"")</f>
        <v/>
      </c>
      <c r="I335" s="5">
        <f>IFERROR(VLOOKUP(B335,Customers!A:L,12,FALSE),"")</f>
        <v/>
      </c>
    </row>
    <row r="336">
      <c r="A336" s="5">
        <f>IF(B336="","","OCC-"&amp;TEXT(ROW()-1,"0000"))</f>
        <v/>
      </c>
      <c r="C336" s="5">
        <f>IFERROR(VLOOKUP(B336,Customers!A:B,2,FALSE),"")</f>
        <v/>
      </c>
      <c r="I336" s="5">
        <f>IFERROR(VLOOKUP(B336,Customers!A:L,12,FALSE),"")</f>
        <v/>
      </c>
    </row>
    <row r="337">
      <c r="A337" s="5">
        <f>IF(B337="","","OCC-"&amp;TEXT(ROW()-1,"0000"))</f>
        <v/>
      </c>
      <c r="C337" s="5">
        <f>IFERROR(VLOOKUP(B337,Customers!A:B,2,FALSE),"")</f>
        <v/>
      </c>
      <c r="I337" s="5">
        <f>IFERROR(VLOOKUP(B337,Customers!A:L,12,FALSE),"")</f>
        <v/>
      </c>
    </row>
    <row r="338">
      <c r="A338" s="5">
        <f>IF(B338="","","OCC-"&amp;TEXT(ROW()-1,"0000"))</f>
        <v/>
      </c>
      <c r="C338" s="5">
        <f>IFERROR(VLOOKUP(B338,Customers!A:B,2,FALSE),"")</f>
        <v/>
      </c>
      <c r="I338" s="5">
        <f>IFERROR(VLOOKUP(B338,Customers!A:L,12,FALSE),"")</f>
        <v/>
      </c>
    </row>
    <row r="339">
      <c r="A339" s="5">
        <f>IF(B339="","","OCC-"&amp;TEXT(ROW()-1,"0000"))</f>
        <v/>
      </c>
      <c r="C339" s="5">
        <f>IFERROR(VLOOKUP(B339,Customers!A:B,2,FALSE),"")</f>
        <v/>
      </c>
      <c r="I339" s="5">
        <f>IFERROR(VLOOKUP(B339,Customers!A:L,12,FALSE),"")</f>
        <v/>
      </c>
    </row>
    <row r="340">
      <c r="A340" s="5">
        <f>IF(B340="","","OCC-"&amp;TEXT(ROW()-1,"0000"))</f>
        <v/>
      </c>
      <c r="C340" s="5">
        <f>IFERROR(VLOOKUP(B340,Customers!A:B,2,FALSE),"")</f>
        <v/>
      </c>
      <c r="I340" s="5">
        <f>IFERROR(VLOOKUP(B340,Customers!A:L,12,FALSE),"")</f>
        <v/>
      </c>
    </row>
    <row r="341">
      <c r="A341" s="5">
        <f>IF(B341="","","OCC-"&amp;TEXT(ROW()-1,"0000"))</f>
        <v/>
      </c>
      <c r="C341" s="5">
        <f>IFERROR(VLOOKUP(B341,Customers!A:B,2,FALSE),"")</f>
        <v/>
      </c>
      <c r="I341" s="5">
        <f>IFERROR(VLOOKUP(B341,Customers!A:L,12,FALSE),"")</f>
        <v/>
      </c>
    </row>
    <row r="342">
      <c r="A342" s="5">
        <f>IF(B342="","","OCC-"&amp;TEXT(ROW()-1,"0000"))</f>
        <v/>
      </c>
      <c r="C342" s="5">
        <f>IFERROR(VLOOKUP(B342,Customers!A:B,2,FALSE),"")</f>
        <v/>
      </c>
      <c r="I342" s="5">
        <f>IFERROR(VLOOKUP(B342,Customers!A:L,12,FALSE),"")</f>
        <v/>
      </c>
    </row>
    <row r="343">
      <c r="A343" s="5">
        <f>IF(B343="","","OCC-"&amp;TEXT(ROW()-1,"0000"))</f>
        <v/>
      </c>
      <c r="C343" s="5">
        <f>IFERROR(VLOOKUP(B343,Customers!A:B,2,FALSE),"")</f>
        <v/>
      </c>
      <c r="I343" s="5">
        <f>IFERROR(VLOOKUP(B343,Customers!A:L,12,FALSE),"")</f>
        <v/>
      </c>
    </row>
    <row r="344">
      <c r="A344" s="5">
        <f>IF(B344="","","OCC-"&amp;TEXT(ROW()-1,"0000"))</f>
        <v/>
      </c>
      <c r="C344" s="5">
        <f>IFERROR(VLOOKUP(B344,Customers!A:B,2,FALSE),"")</f>
        <v/>
      </c>
      <c r="I344" s="5">
        <f>IFERROR(VLOOKUP(B344,Customers!A:L,12,FALSE),"")</f>
        <v/>
      </c>
    </row>
    <row r="345">
      <c r="A345" s="5">
        <f>IF(B345="","","OCC-"&amp;TEXT(ROW()-1,"0000"))</f>
        <v/>
      </c>
      <c r="C345" s="5">
        <f>IFERROR(VLOOKUP(B345,Customers!A:B,2,FALSE),"")</f>
        <v/>
      </c>
      <c r="I345" s="5">
        <f>IFERROR(VLOOKUP(B345,Customers!A:L,12,FALSE),"")</f>
        <v/>
      </c>
    </row>
    <row r="346">
      <c r="A346" s="5">
        <f>IF(B346="","","OCC-"&amp;TEXT(ROW()-1,"0000"))</f>
        <v/>
      </c>
      <c r="C346" s="5">
        <f>IFERROR(VLOOKUP(B346,Customers!A:B,2,FALSE),"")</f>
        <v/>
      </c>
      <c r="I346" s="5">
        <f>IFERROR(VLOOKUP(B346,Customers!A:L,12,FALSE),"")</f>
        <v/>
      </c>
    </row>
    <row r="347">
      <c r="A347" s="5">
        <f>IF(B347="","","OCC-"&amp;TEXT(ROW()-1,"0000"))</f>
        <v/>
      </c>
      <c r="C347" s="5">
        <f>IFERROR(VLOOKUP(B347,Customers!A:B,2,FALSE),"")</f>
        <v/>
      </c>
      <c r="I347" s="5">
        <f>IFERROR(VLOOKUP(B347,Customers!A:L,12,FALSE),"")</f>
        <v/>
      </c>
    </row>
    <row r="348">
      <c r="A348" s="5">
        <f>IF(B348="","","OCC-"&amp;TEXT(ROW()-1,"0000"))</f>
        <v/>
      </c>
      <c r="C348" s="5">
        <f>IFERROR(VLOOKUP(B348,Customers!A:B,2,FALSE),"")</f>
        <v/>
      </c>
      <c r="I348" s="5">
        <f>IFERROR(VLOOKUP(B348,Customers!A:L,12,FALSE),"")</f>
        <v/>
      </c>
    </row>
    <row r="349">
      <c r="A349" s="5">
        <f>IF(B349="","","OCC-"&amp;TEXT(ROW()-1,"0000"))</f>
        <v/>
      </c>
      <c r="C349" s="5">
        <f>IFERROR(VLOOKUP(B349,Customers!A:B,2,FALSE),"")</f>
        <v/>
      </c>
      <c r="I349" s="5">
        <f>IFERROR(VLOOKUP(B349,Customers!A:L,12,FALSE),"")</f>
        <v/>
      </c>
    </row>
    <row r="350">
      <c r="A350" s="5">
        <f>IF(B350="","","OCC-"&amp;TEXT(ROW()-1,"0000"))</f>
        <v/>
      </c>
      <c r="C350" s="5">
        <f>IFERROR(VLOOKUP(B350,Customers!A:B,2,FALSE),"")</f>
        <v/>
      </c>
      <c r="I350" s="5">
        <f>IFERROR(VLOOKUP(B350,Customers!A:L,12,FALSE),"")</f>
        <v/>
      </c>
    </row>
    <row r="351">
      <c r="A351" s="5">
        <f>IF(B351="","","OCC-"&amp;TEXT(ROW()-1,"0000"))</f>
        <v/>
      </c>
      <c r="C351" s="5">
        <f>IFERROR(VLOOKUP(B351,Customers!A:B,2,FALSE),"")</f>
        <v/>
      </c>
      <c r="I351" s="5">
        <f>IFERROR(VLOOKUP(B351,Customers!A:L,12,FALSE),"")</f>
        <v/>
      </c>
    </row>
    <row r="352">
      <c r="A352" s="5">
        <f>IF(B352="","","OCC-"&amp;TEXT(ROW()-1,"0000"))</f>
        <v/>
      </c>
      <c r="C352" s="5">
        <f>IFERROR(VLOOKUP(B352,Customers!A:B,2,FALSE),"")</f>
        <v/>
      </c>
      <c r="I352" s="5">
        <f>IFERROR(VLOOKUP(B352,Customers!A:L,12,FALSE),"")</f>
        <v/>
      </c>
    </row>
    <row r="353">
      <c r="A353" s="5">
        <f>IF(B353="","","OCC-"&amp;TEXT(ROW()-1,"0000"))</f>
        <v/>
      </c>
      <c r="C353" s="5">
        <f>IFERROR(VLOOKUP(B353,Customers!A:B,2,FALSE),"")</f>
        <v/>
      </c>
      <c r="I353" s="5">
        <f>IFERROR(VLOOKUP(B353,Customers!A:L,12,FALSE),"")</f>
        <v/>
      </c>
    </row>
    <row r="354">
      <c r="A354" s="5">
        <f>IF(B354="","","OCC-"&amp;TEXT(ROW()-1,"0000"))</f>
        <v/>
      </c>
      <c r="C354" s="5">
        <f>IFERROR(VLOOKUP(B354,Customers!A:B,2,FALSE),"")</f>
        <v/>
      </c>
      <c r="I354" s="5">
        <f>IFERROR(VLOOKUP(B354,Customers!A:L,12,FALSE),"")</f>
        <v/>
      </c>
    </row>
    <row r="355">
      <c r="A355" s="5">
        <f>IF(B355="","","OCC-"&amp;TEXT(ROW()-1,"0000"))</f>
        <v/>
      </c>
      <c r="C355" s="5">
        <f>IFERROR(VLOOKUP(B355,Customers!A:B,2,FALSE),"")</f>
        <v/>
      </c>
      <c r="I355" s="5">
        <f>IFERROR(VLOOKUP(B355,Customers!A:L,12,FALSE),"")</f>
        <v/>
      </c>
    </row>
    <row r="356">
      <c r="A356" s="5">
        <f>IF(B356="","","OCC-"&amp;TEXT(ROW()-1,"0000"))</f>
        <v/>
      </c>
      <c r="C356" s="5">
        <f>IFERROR(VLOOKUP(B356,Customers!A:B,2,FALSE),"")</f>
        <v/>
      </c>
      <c r="I356" s="5">
        <f>IFERROR(VLOOKUP(B356,Customers!A:L,12,FALSE),"")</f>
        <v/>
      </c>
    </row>
    <row r="357">
      <c r="A357" s="5">
        <f>IF(B357="","","OCC-"&amp;TEXT(ROW()-1,"0000"))</f>
        <v/>
      </c>
      <c r="C357" s="5">
        <f>IFERROR(VLOOKUP(B357,Customers!A:B,2,FALSE),"")</f>
        <v/>
      </c>
      <c r="I357" s="5">
        <f>IFERROR(VLOOKUP(B357,Customers!A:L,12,FALSE),"")</f>
        <v/>
      </c>
    </row>
    <row r="358">
      <c r="A358" s="5">
        <f>IF(B358="","","OCC-"&amp;TEXT(ROW()-1,"0000"))</f>
        <v/>
      </c>
      <c r="C358" s="5">
        <f>IFERROR(VLOOKUP(B358,Customers!A:B,2,FALSE),"")</f>
        <v/>
      </c>
      <c r="I358" s="5">
        <f>IFERROR(VLOOKUP(B358,Customers!A:L,12,FALSE),"")</f>
        <v/>
      </c>
    </row>
    <row r="359">
      <c r="A359" s="5">
        <f>IF(B359="","","OCC-"&amp;TEXT(ROW()-1,"0000"))</f>
        <v/>
      </c>
      <c r="C359" s="5">
        <f>IFERROR(VLOOKUP(B359,Customers!A:B,2,FALSE),"")</f>
        <v/>
      </c>
      <c r="I359" s="5">
        <f>IFERROR(VLOOKUP(B359,Customers!A:L,12,FALSE),"")</f>
        <v/>
      </c>
    </row>
    <row r="360">
      <c r="A360" s="5">
        <f>IF(B360="","","OCC-"&amp;TEXT(ROW()-1,"0000"))</f>
        <v/>
      </c>
      <c r="C360" s="5">
        <f>IFERROR(VLOOKUP(B360,Customers!A:B,2,FALSE),"")</f>
        <v/>
      </c>
      <c r="I360" s="5">
        <f>IFERROR(VLOOKUP(B360,Customers!A:L,12,FALSE),"")</f>
        <v/>
      </c>
    </row>
    <row r="361">
      <c r="A361" s="5">
        <f>IF(B361="","","OCC-"&amp;TEXT(ROW()-1,"0000"))</f>
        <v/>
      </c>
      <c r="C361" s="5">
        <f>IFERROR(VLOOKUP(B361,Customers!A:B,2,FALSE),"")</f>
        <v/>
      </c>
      <c r="I361" s="5">
        <f>IFERROR(VLOOKUP(B361,Customers!A:L,12,FALSE),"")</f>
        <v/>
      </c>
    </row>
    <row r="362">
      <c r="A362" s="5">
        <f>IF(B362="","","OCC-"&amp;TEXT(ROW()-1,"0000"))</f>
        <v/>
      </c>
      <c r="C362" s="5">
        <f>IFERROR(VLOOKUP(B362,Customers!A:B,2,FALSE),"")</f>
        <v/>
      </c>
      <c r="I362" s="5">
        <f>IFERROR(VLOOKUP(B362,Customers!A:L,12,FALSE),"")</f>
        <v/>
      </c>
    </row>
    <row r="363">
      <c r="A363" s="5">
        <f>IF(B363="","","OCC-"&amp;TEXT(ROW()-1,"0000"))</f>
        <v/>
      </c>
      <c r="C363" s="5">
        <f>IFERROR(VLOOKUP(B363,Customers!A:B,2,FALSE),"")</f>
        <v/>
      </c>
      <c r="I363" s="5">
        <f>IFERROR(VLOOKUP(B363,Customers!A:L,12,FALSE),"")</f>
        <v/>
      </c>
    </row>
    <row r="364">
      <c r="A364" s="5">
        <f>IF(B364="","","OCC-"&amp;TEXT(ROW()-1,"0000"))</f>
        <v/>
      </c>
      <c r="C364" s="5">
        <f>IFERROR(VLOOKUP(B364,Customers!A:B,2,FALSE),"")</f>
        <v/>
      </c>
      <c r="I364" s="5">
        <f>IFERROR(VLOOKUP(B364,Customers!A:L,12,FALSE),"")</f>
        <v/>
      </c>
    </row>
    <row r="365">
      <c r="A365" s="5">
        <f>IF(B365="","","OCC-"&amp;TEXT(ROW()-1,"0000"))</f>
        <v/>
      </c>
      <c r="C365" s="5">
        <f>IFERROR(VLOOKUP(B365,Customers!A:B,2,FALSE),"")</f>
        <v/>
      </c>
      <c r="I365" s="5">
        <f>IFERROR(VLOOKUP(B365,Customers!A:L,12,FALSE),"")</f>
        <v/>
      </c>
    </row>
    <row r="366">
      <c r="A366" s="5">
        <f>IF(B366="","","OCC-"&amp;TEXT(ROW()-1,"0000"))</f>
        <v/>
      </c>
      <c r="C366" s="5">
        <f>IFERROR(VLOOKUP(B366,Customers!A:B,2,FALSE),"")</f>
        <v/>
      </c>
      <c r="I366" s="5">
        <f>IFERROR(VLOOKUP(B366,Customers!A:L,12,FALSE),"")</f>
        <v/>
      </c>
    </row>
    <row r="367">
      <c r="A367" s="5">
        <f>IF(B367="","","OCC-"&amp;TEXT(ROW()-1,"0000"))</f>
        <v/>
      </c>
      <c r="C367" s="5">
        <f>IFERROR(VLOOKUP(B367,Customers!A:B,2,FALSE),"")</f>
        <v/>
      </c>
      <c r="I367" s="5">
        <f>IFERROR(VLOOKUP(B367,Customers!A:L,12,FALSE),"")</f>
        <v/>
      </c>
    </row>
    <row r="368">
      <c r="A368" s="5">
        <f>IF(B368="","","OCC-"&amp;TEXT(ROW()-1,"0000"))</f>
        <v/>
      </c>
      <c r="C368" s="5">
        <f>IFERROR(VLOOKUP(B368,Customers!A:B,2,FALSE),"")</f>
        <v/>
      </c>
      <c r="I368" s="5">
        <f>IFERROR(VLOOKUP(B368,Customers!A:L,12,FALSE),"")</f>
        <v/>
      </c>
    </row>
    <row r="369">
      <c r="A369" s="5">
        <f>IF(B369="","","OCC-"&amp;TEXT(ROW()-1,"0000"))</f>
        <v/>
      </c>
      <c r="C369" s="5">
        <f>IFERROR(VLOOKUP(B369,Customers!A:B,2,FALSE),"")</f>
        <v/>
      </c>
      <c r="I369" s="5">
        <f>IFERROR(VLOOKUP(B369,Customers!A:L,12,FALSE),"")</f>
        <v/>
      </c>
    </row>
    <row r="370">
      <c r="A370" s="5">
        <f>IF(B370="","","OCC-"&amp;TEXT(ROW()-1,"0000"))</f>
        <v/>
      </c>
      <c r="C370" s="5">
        <f>IFERROR(VLOOKUP(B370,Customers!A:B,2,FALSE),"")</f>
        <v/>
      </c>
      <c r="I370" s="5">
        <f>IFERROR(VLOOKUP(B370,Customers!A:L,12,FALSE),"")</f>
        <v/>
      </c>
    </row>
    <row r="371">
      <c r="A371" s="5">
        <f>IF(B371="","","OCC-"&amp;TEXT(ROW()-1,"0000"))</f>
        <v/>
      </c>
      <c r="C371" s="5">
        <f>IFERROR(VLOOKUP(B371,Customers!A:B,2,FALSE),"")</f>
        <v/>
      </c>
      <c r="I371" s="5">
        <f>IFERROR(VLOOKUP(B371,Customers!A:L,12,FALSE),"")</f>
        <v/>
      </c>
    </row>
    <row r="372">
      <c r="A372" s="5">
        <f>IF(B372="","","OCC-"&amp;TEXT(ROW()-1,"0000"))</f>
        <v/>
      </c>
      <c r="C372" s="5">
        <f>IFERROR(VLOOKUP(B372,Customers!A:B,2,FALSE),"")</f>
        <v/>
      </c>
      <c r="I372" s="5">
        <f>IFERROR(VLOOKUP(B372,Customers!A:L,12,FALSE),"")</f>
        <v/>
      </c>
    </row>
    <row r="373">
      <c r="A373" s="5">
        <f>IF(B373="","","OCC-"&amp;TEXT(ROW()-1,"0000"))</f>
        <v/>
      </c>
      <c r="C373" s="5">
        <f>IFERROR(VLOOKUP(B373,Customers!A:B,2,FALSE),"")</f>
        <v/>
      </c>
      <c r="I373" s="5">
        <f>IFERROR(VLOOKUP(B373,Customers!A:L,12,FALSE),"")</f>
        <v/>
      </c>
    </row>
    <row r="374">
      <c r="A374" s="5">
        <f>IF(B374="","","OCC-"&amp;TEXT(ROW()-1,"0000"))</f>
        <v/>
      </c>
      <c r="C374" s="5">
        <f>IFERROR(VLOOKUP(B374,Customers!A:B,2,FALSE),"")</f>
        <v/>
      </c>
      <c r="I374" s="5">
        <f>IFERROR(VLOOKUP(B374,Customers!A:L,12,FALSE),"")</f>
        <v/>
      </c>
    </row>
    <row r="375">
      <c r="A375" s="5">
        <f>IF(B375="","","OCC-"&amp;TEXT(ROW()-1,"0000"))</f>
        <v/>
      </c>
      <c r="C375" s="5">
        <f>IFERROR(VLOOKUP(B375,Customers!A:B,2,FALSE),"")</f>
        <v/>
      </c>
      <c r="I375" s="5">
        <f>IFERROR(VLOOKUP(B375,Customers!A:L,12,FALSE),"")</f>
        <v/>
      </c>
    </row>
    <row r="376">
      <c r="A376" s="5">
        <f>IF(B376="","","OCC-"&amp;TEXT(ROW()-1,"0000"))</f>
        <v/>
      </c>
      <c r="C376" s="5">
        <f>IFERROR(VLOOKUP(B376,Customers!A:B,2,FALSE),"")</f>
        <v/>
      </c>
      <c r="I376" s="5">
        <f>IFERROR(VLOOKUP(B376,Customers!A:L,12,FALSE),"")</f>
        <v/>
      </c>
    </row>
    <row r="377">
      <c r="A377" s="5">
        <f>IF(B377="","","OCC-"&amp;TEXT(ROW()-1,"0000"))</f>
        <v/>
      </c>
      <c r="C377" s="5">
        <f>IFERROR(VLOOKUP(B377,Customers!A:B,2,FALSE),"")</f>
        <v/>
      </c>
      <c r="I377" s="5">
        <f>IFERROR(VLOOKUP(B377,Customers!A:L,12,FALSE),"")</f>
        <v/>
      </c>
    </row>
    <row r="378">
      <c r="A378" s="5">
        <f>IF(B378="","","OCC-"&amp;TEXT(ROW()-1,"0000"))</f>
        <v/>
      </c>
      <c r="C378" s="5">
        <f>IFERROR(VLOOKUP(B378,Customers!A:B,2,FALSE),"")</f>
        <v/>
      </c>
      <c r="I378" s="5">
        <f>IFERROR(VLOOKUP(B378,Customers!A:L,12,FALSE),"")</f>
        <v/>
      </c>
    </row>
    <row r="379">
      <c r="A379" s="5">
        <f>IF(B379="","","OCC-"&amp;TEXT(ROW()-1,"0000"))</f>
        <v/>
      </c>
      <c r="C379" s="5">
        <f>IFERROR(VLOOKUP(B379,Customers!A:B,2,FALSE),"")</f>
        <v/>
      </c>
      <c r="I379" s="5">
        <f>IFERROR(VLOOKUP(B379,Customers!A:L,12,FALSE),"")</f>
        <v/>
      </c>
    </row>
    <row r="380">
      <c r="A380" s="5">
        <f>IF(B380="","","OCC-"&amp;TEXT(ROW()-1,"0000"))</f>
        <v/>
      </c>
      <c r="C380" s="5">
        <f>IFERROR(VLOOKUP(B380,Customers!A:B,2,FALSE),"")</f>
        <v/>
      </c>
      <c r="I380" s="5">
        <f>IFERROR(VLOOKUP(B380,Customers!A:L,12,FALSE),"")</f>
        <v/>
      </c>
    </row>
    <row r="381">
      <c r="A381" s="5">
        <f>IF(B381="","","OCC-"&amp;TEXT(ROW()-1,"0000"))</f>
        <v/>
      </c>
      <c r="C381" s="5">
        <f>IFERROR(VLOOKUP(B381,Customers!A:B,2,FALSE),"")</f>
        <v/>
      </c>
      <c r="I381" s="5">
        <f>IFERROR(VLOOKUP(B381,Customers!A:L,12,FALSE),"")</f>
        <v/>
      </c>
    </row>
    <row r="382">
      <c r="A382" s="5">
        <f>IF(B382="","","OCC-"&amp;TEXT(ROW()-1,"0000"))</f>
        <v/>
      </c>
      <c r="C382" s="5">
        <f>IFERROR(VLOOKUP(B382,Customers!A:B,2,FALSE),"")</f>
        <v/>
      </c>
      <c r="I382" s="5">
        <f>IFERROR(VLOOKUP(B382,Customers!A:L,12,FALSE),"")</f>
        <v/>
      </c>
    </row>
    <row r="383">
      <c r="A383" s="5">
        <f>IF(B383="","","OCC-"&amp;TEXT(ROW()-1,"0000"))</f>
        <v/>
      </c>
      <c r="C383" s="5">
        <f>IFERROR(VLOOKUP(B383,Customers!A:B,2,FALSE),"")</f>
        <v/>
      </c>
      <c r="I383" s="5">
        <f>IFERROR(VLOOKUP(B383,Customers!A:L,12,FALSE),"")</f>
        <v/>
      </c>
    </row>
    <row r="384">
      <c r="A384" s="5">
        <f>IF(B384="","","OCC-"&amp;TEXT(ROW()-1,"0000"))</f>
        <v/>
      </c>
      <c r="C384" s="5">
        <f>IFERROR(VLOOKUP(B384,Customers!A:B,2,FALSE),"")</f>
        <v/>
      </c>
      <c r="I384" s="5">
        <f>IFERROR(VLOOKUP(B384,Customers!A:L,12,FALSE),"")</f>
        <v/>
      </c>
    </row>
    <row r="385">
      <c r="A385" s="5">
        <f>IF(B385="","","OCC-"&amp;TEXT(ROW()-1,"0000"))</f>
        <v/>
      </c>
      <c r="C385" s="5">
        <f>IFERROR(VLOOKUP(B385,Customers!A:B,2,FALSE),"")</f>
        <v/>
      </c>
      <c r="I385" s="5">
        <f>IFERROR(VLOOKUP(B385,Customers!A:L,12,FALSE),"")</f>
        <v/>
      </c>
    </row>
    <row r="386">
      <c r="A386" s="5">
        <f>IF(B386="","","OCC-"&amp;TEXT(ROW()-1,"0000"))</f>
        <v/>
      </c>
      <c r="C386" s="5">
        <f>IFERROR(VLOOKUP(B386,Customers!A:B,2,FALSE),"")</f>
        <v/>
      </c>
      <c r="I386" s="5">
        <f>IFERROR(VLOOKUP(B386,Customers!A:L,12,FALSE),"")</f>
        <v/>
      </c>
    </row>
    <row r="387">
      <c r="A387" s="5">
        <f>IF(B387="","","OCC-"&amp;TEXT(ROW()-1,"0000"))</f>
        <v/>
      </c>
      <c r="C387" s="5">
        <f>IFERROR(VLOOKUP(B387,Customers!A:B,2,FALSE),"")</f>
        <v/>
      </c>
      <c r="I387" s="5">
        <f>IFERROR(VLOOKUP(B387,Customers!A:L,12,FALSE),"")</f>
        <v/>
      </c>
    </row>
    <row r="388">
      <c r="A388" s="5">
        <f>IF(B388="","","OCC-"&amp;TEXT(ROW()-1,"0000"))</f>
        <v/>
      </c>
      <c r="C388" s="5">
        <f>IFERROR(VLOOKUP(B388,Customers!A:B,2,FALSE),"")</f>
        <v/>
      </c>
      <c r="I388" s="5">
        <f>IFERROR(VLOOKUP(B388,Customers!A:L,12,FALSE),"")</f>
        <v/>
      </c>
    </row>
    <row r="389">
      <c r="A389" s="5">
        <f>IF(B389="","","OCC-"&amp;TEXT(ROW()-1,"0000"))</f>
        <v/>
      </c>
      <c r="C389" s="5">
        <f>IFERROR(VLOOKUP(B389,Customers!A:B,2,FALSE),"")</f>
        <v/>
      </c>
      <c r="I389" s="5">
        <f>IFERROR(VLOOKUP(B389,Customers!A:L,12,FALSE),"")</f>
        <v/>
      </c>
    </row>
    <row r="390">
      <c r="A390" s="5">
        <f>IF(B390="","","OCC-"&amp;TEXT(ROW()-1,"0000"))</f>
        <v/>
      </c>
      <c r="C390" s="5">
        <f>IFERROR(VLOOKUP(B390,Customers!A:B,2,FALSE),"")</f>
        <v/>
      </c>
      <c r="I390" s="5">
        <f>IFERROR(VLOOKUP(B390,Customers!A:L,12,FALSE),"")</f>
        <v/>
      </c>
    </row>
    <row r="391">
      <c r="A391" s="5">
        <f>IF(B391="","","OCC-"&amp;TEXT(ROW()-1,"0000"))</f>
        <v/>
      </c>
      <c r="C391" s="5">
        <f>IFERROR(VLOOKUP(B391,Customers!A:B,2,FALSE),"")</f>
        <v/>
      </c>
      <c r="I391" s="5">
        <f>IFERROR(VLOOKUP(B391,Customers!A:L,12,FALSE),"")</f>
        <v/>
      </c>
    </row>
    <row r="392">
      <c r="A392" s="5">
        <f>IF(B392="","","OCC-"&amp;TEXT(ROW()-1,"0000"))</f>
        <v/>
      </c>
      <c r="C392" s="5">
        <f>IFERROR(VLOOKUP(B392,Customers!A:B,2,FALSE),"")</f>
        <v/>
      </c>
      <c r="I392" s="5">
        <f>IFERROR(VLOOKUP(B392,Customers!A:L,12,FALSE),"")</f>
        <v/>
      </c>
    </row>
    <row r="393">
      <c r="A393" s="5">
        <f>IF(B393="","","OCC-"&amp;TEXT(ROW()-1,"0000"))</f>
        <v/>
      </c>
      <c r="C393" s="5">
        <f>IFERROR(VLOOKUP(B393,Customers!A:B,2,FALSE),"")</f>
        <v/>
      </c>
      <c r="I393" s="5">
        <f>IFERROR(VLOOKUP(B393,Customers!A:L,12,FALSE),"")</f>
        <v/>
      </c>
    </row>
    <row r="394">
      <c r="A394" s="5">
        <f>IF(B394="","","OCC-"&amp;TEXT(ROW()-1,"0000"))</f>
        <v/>
      </c>
      <c r="C394" s="5">
        <f>IFERROR(VLOOKUP(B394,Customers!A:B,2,FALSE),"")</f>
        <v/>
      </c>
      <c r="I394" s="5">
        <f>IFERROR(VLOOKUP(B394,Customers!A:L,12,FALSE),"")</f>
        <v/>
      </c>
    </row>
    <row r="395">
      <c r="A395" s="5">
        <f>IF(B395="","","OCC-"&amp;TEXT(ROW()-1,"0000"))</f>
        <v/>
      </c>
      <c r="C395" s="5">
        <f>IFERROR(VLOOKUP(B395,Customers!A:B,2,FALSE),"")</f>
        <v/>
      </c>
      <c r="I395" s="5">
        <f>IFERROR(VLOOKUP(B395,Customers!A:L,12,FALSE),"")</f>
        <v/>
      </c>
    </row>
    <row r="396">
      <c r="A396" s="5">
        <f>IF(B396="","","OCC-"&amp;TEXT(ROW()-1,"0000"))</f>
        <v/>
      </c>
      <c r="C396" s="5">
        <f>IFERROR(VLOOKUP(B396,Customers!A:B,2,FALSE),"")</f>
        <v/>
      </c>
      <c r="I396" s="5">
        <f>IFERROR(VLOOKUP(B396,Customers!A:L,12,FALSE),"")</f>
        <v/>
      </c>
    </row>
    <row r="397">
      <c r="A397" s="5">
        <f>IF(B397="","","OCC-"&amp;TEXT(ROW()-1,"0000"))</f>
        <v/>
      </c>
      <c r="C397" s="5">
        <f>IFERROR(VLOOKUP(B397,Customers!A:B,2,FALSE),"")</f>
        <v/>
      </c>
      <c r="I397" s="5">
        <f>IFERROR(VLOOKUP(B397,Customers!A:L,12,FALSE),"")</f>
        <v/>
      </c>
    </row>
    <row r="398">
      <c r="A398" s="5">
        <f>IF(B398="","","OCC-"&amp;TEXT(ROW()-1,"0000"))</f>
        <v/>
      </c>
      <c r="C398" s="5">
        <f>IFERROR(VLOOKUP(B398,Customers!A:B,2,FALSE),"")</f>
        <v/>
      </c>
      <c r="I398" s="5">
        <f>IFERROR(VLOOKUP(B398,Customers!A:L,12,FALSE),"")</f>
        <v/>
      </c>
    </row>
    <row r="399">
      <c r="A399" s="5">
        <f>IF(B399="","","OCC-"&amp;TEXT(ROW()-1,"0000"))</f>
        <v/>
      </c>
      <c r="C399" s="5">
        <f>IFERROR(VLOOKUP(B399,Customers!A:B,2,FALSE),"")</f>
        <v/>
      </c>
      <c r="I399" s="5">
        <f>IFERROR(VLOOKUP(B399,Customers!A:L,12,FALSE),"")</f>
        <v/>
      </c>
    </row>
    <row r="400">
      <c r="A400" s="5">
        <f>IF(B400="","","OCC-"&amp;TEXT(ROW()-1,"0000"))</f>
        <v/>
      </c>
      <c r="C400" s="5">
        <f>IFERROR(VLOOKUP(B400,Customers!A:B,2,FALSE),"")</f>
        <v/>
      </c>
      <c r="I400" s="5">
        <f>IFERROR(VLOOKUP(B400,Customers!A:L,12,FALSE),"")</f>
        <v/>
      </c>
    </row>
    <row r="401">
      <c r="A401" s="5">
        <f>IF(B401="","","OCC-"&amp;TEXT(ROW()-1,"0000"))</f>
        <v/>
      </c>
      <c r="C401" s="5">
        <f>IFERROR(VLOOKUP(B401,Customers!A:B,2,FALSE),"")</f>
        <v/>
      </c>
      <c r="I401" s="5">
        <f>IFERROR(VLOOKUP(B401,Customers!A:L,12,FALSE),"")</f>
        <v/>
      </c>
    </row>
    <row r="402">
      <c r="A402" s="5">
        <f>IF(B402="","","OCC-"&amp;TEXT(ROW()-1,"0000"))</f>
        <v/>
      </c>
      <c r="C402" s="5">
        <f>IFERROR(VLOOKUP(B402,Customers!A:B,2,FALSE),"")</f>
        <v/>
      </c>
      <c r="I402" s="5">
        <f>IFERROR(VLOOKUP(B402,Customers!A:L,12,FALSE),"")</f>
        <v/>
      </c>
    </row>
    <row r="403">
      <c r="A403" s="5">
        <f>IF(B403="","","OCC-"&amp;TEXT(ROW()-1,"0000"))</f>
        <v/>
      </c>
      <c r="C403" s="5">
        <f>IFERROR(VLOOKUP(B403,Customers!A:B,2,FALSE),"")</f>
        <v/>
      </c>
      <c r="I403" s="5">
        <f>IFERROR(VLOOKUP(B403,Customers!A:L,12,FALSE),"")</f>
        <v/>
      </c>
    </row>
    <row r="404">
      <c r="A404" s="5">
        <f>IF(B404="","","OCC-"&amp;TEXT(ROW()-1,"0000"))</f>
        <v/>
      </c>
      <c r="C404" s="5">
        <f>IFERROR(VLOOKUP(B404,Customers!A:B,2,FALSE),"")</f>
        <v/>
      </c>
      <c r="I404" s="5">
        <f>IFERROR(VLOOKUP(B404,Customers!A:L,12,FALSE),"")</f>
        <v/>
      </c>
    </row>
    <row r="405">
      <c r="A405" s="5">
        <f>IF(B405="","","OCC-"&amp;TEXT(ROW()-1,"0000"))</f>
        <v/>
      </c>
      <c r="C405" s="5">
        <f>IFERROR(VLOOKUP(B405,Customers!A:B,2,FALSE),"")</f>
        <v/>
      </c>
      <c r="I405" s="5">
        <f>IFERROR(VLOOKUP(B405,Customers!A:L,12,FALSE),"")</f>
        <v/>
      </c>
    </row>
    <row r="406">
      <c r="A406" s="5">
        <f>IF(B406="","","OCC-"&amp;TEXT(ROW()-1,"0000"))</f>
        <v/>
      </c>
      <c r="C406" s="5">
        <f>IFERROR(VLOOKUP(B406,Customers!A:B,2,FALSE),"")</f>
        <v/>
      </c>
      <c r="I406" s="5">
        <f>IFERROR(VLOOKUP(B406,Customers!A:L,12,FALSE),"")</f>
        <v/>
      </c>
    </row>
    <row r="407">
      <c r="A407" s="5">
        <f>IF(B407="","","OCC-"&amp;TEXT(ROW()-1,"0000"))</f>
        <v/>
      </c>
      <c r="C407" s="5">
        <f>IFERROR(VLOOKUP(B407,Customers!A:B,2,FALSE),"")</f>
        <v/>
      </c>
      <c r="I407" s="5">
        <f>IFERROR(VLOOKUP(B407,Customers!A:L,12,FALSE),"")</f>
        <v/>
      </c>
    </row>
    <row r="408">
      <c r="A408" s="5">
        <f>IF(B408="","","OCC-"&amp;TEXT(ROW()-1,"0000"))</f>
        <v/>
      </c>
      <c r="C408" s="5">
        <f>IFERROR(VLOOKUP(B408,Customers!A:B,2,FALSE),"")</f>
        <v/>
      </c>
      <c r="I408" s="5">
        <f>IFERROR(VLOOKUP(B408,Customers!A:L,12,FALSE),"")</f>
        <v/>
      </c>
    </row>
    <row r="409">
      <c r="A409" s="5">
        <f>IF(B409="","","OCC-"&amp;TEXT(ROW()-1,"0000"))</f>
        <v/>
      </c>
      <c r="C409" s="5">
        <f>IFERROR(VLOOKUP(B409,Customers!A:B,2,FALSE),"")</f>
        <v/>
      </c>
      <c r="I409" s="5">
        <f>IFERROR(VLOOKUP(B409,Customers!A:L,12,FALSE),"")</f>
        <v/>
      </c>
    </row>
    <row r="410">
      <c r="A410" s="5">
        <f>IF(B410="","","OCC-"&amp;TEXT(ROW()-1,"0000"))</f>
        <v/>
      </c>
      <c r="C410" s="5">
        <f>IFERROR(VLOOKUP(B410,Customers!A:B,2,FALSE),"")</f>
        <v/>
      </c>
      <c r="I410" s="5">
        <f>IFERROR(VLOOKUP(B410,Customers!A:L,12,FALSE),"")</f>
        <v/>
      </c>
    </row>
    <row r="411">
      <c r="A411" s="5">
        <f>IF(B411="","","OCC-"&amp;TEXT(ROW()-1,"0000"))</f>
        <v/>
      </c>
      <c r="C411" s="5">
        <f>IFERROR(VLOOKUP(B411,Customers!A:B,2,FALSE),"")</f>
        <v/>
      </c>
      <c r="I411" s="5">
        <f>IFERROR(VLOOKUP(B411,Customers!A:L,12,FALSE),"")</f>
        <v/>
      </c>
    </row>
    <row r="412">
      <c r="A412" s="5">
        <f>IF(B412="","","OCC-"&amp;TEXT(ROW()-1,"0000"))</f>
        <v/>
      </c>
      <c r="C412" s="5">
        <f>IFERROR(VLOOKUP(B412,Customers!A:B,2,FALSE),"")</f>
        <v/>
      </c>
      <c r="I412" s="5">
        <f>IFERROR(VLOOKUP(B412,Customers!A:L,12,FALSE),"")</f>
        <v/>
      </c>
    </row>
    <row r="413">
      <c r="A413" s="5">
        <f>IF(B413="","","OCC-"&amp;TEXT(ROW()-1,"0000"))</f>
        <v/>
      </c>
      <c r="C413" s="5">
        <f>IFERROR(VLOOKUP(B413,Customers!A:B,2,FALSE),"")</f>
        <v/>
      </c>
      <c r="I413" s="5">
        <f>IFERROR(VLOOKUP(B413,Customers!A:L,12,FALSE),"")</f>
        <v/>
      </c>
    </row>
    <row r="414">
      <c r="A414" s="5">
        <f>IF(B414="","","OCC-"&amp;TEXT(ROW()-1,"0000"))</f>
        <v/>
      </c>
      <c r="C414" s="5">
        <f>IFERROR(VLOOKUP(B414,Customers!A:B,2,FALSE),"")</f>
        <v/>
      </c>
      <c r="I414" s="5">
        <f>IFERROR(VLOOKUP(B414,Customers!A:L,12,FALSE),"")</f>
        <v/>
      </c>
    </row>
    <row r="415">
      <c r="A415" s="5">
        <f>IF(B415="","","OCC-"&amp;TEXT(ROW()-1,"0000"))</f>
        <v/>
      </c>
      <c r="C415" s="5">
        <f>IFERROR(VLOOKUP(B415,Customers!A:B,2,FALSE),"")</f>
        <v/>
      </c>
      <c r="I415" s="5">
        <f>IFERROR(VLOOKUP(B415,Customers!A:L,12,FALSE),"")</f>
        <v/>
      </c>
    </row>
    <row r="416">
      <c r="A416" s="5">
        <f>IF(B416="","","OCC-"&amp;TEXT(ROW()-1,"0000"))</f>
        <v/>
      </c>
      <c r="C416" s="5">
        <f>IFERROR(VLOOKUP(B416,Customers!A:B,2,FALSE),"")</f>
        <v/>
      </c>
      <c r="I416" s="5">
        <f>IFERROR(VLOOKUP(B416,Customers!A:L,12,FALSE),"")</f>
        <v/>
      </c>
    </row>
    <row r="417">
      <c r="A417" s="5">
        <f>IF(B417="","","OCC-"&amp;TEXT(ROW()-1,"0000"))</f>
        <v/>
      </c>
      <c r="C417" s="5">
        <f>IFERROR(VLOOKUP(B417,Customers!A:B,2,FALSE),"")</f>
        <v/>
      </c>
      <c r="I417" s="5">
        <f>IFERROR(VLOOKUP(B417,Customers!A:L,12,FALSE),"")</f>
        <v/>
      </c>
    </row>
    <row r="418">
      <c r="A418" s="5">
        <f>IF(B418="","","OCC-"&amp;TEXT(ROW()-1,"0000"))</f>
        <v/>
      </c>
      <c r="C418" s="5">
        <f>IFERROR(VLOOKUP(B418,Customers!A:B,2,FALSE),"")</f>
        <v/>
      </c>
      <c r="I418" s="5">
        <f>IFERROR(VLOOKUP(B418,Customers!A:L,12,FALSE),"")</f>
        <v/>
      </c>
    </row>
    <row r="419">
      <c r="A419" s="5">
        <f>IF(B419="","","OCC-"&amp;TEXT(ROW()-1,"0000"))</f>
        <v/>
      </c>
      <c r="C419" s="5">
        <f>IFERROR(VLOOKUP(B419,Customers!A:B,2,FALSE),"")</f>
        <v/>
      </c>
      <c r="I419" s="5">
        <f>IFERROR(VLOOKUP(B419,Customers!A:L,12,FALSE),"")</f>
        <v/>
      </c>
    </row>
    <row r="420">
      <c r="A420" s="5">
        <f>IF(B420="","","OCC-"&amp;TEXT(ROW()-1,"0000"))</f>
        <v/>
      </c>
      <c r="C420" s="5">
        <f>IFERROR(VLOOKUP(B420,Customers!A:B,2,FALSE),"")</f>
        <v/>
      </c>
      <c r="I420" s="5">
        <f>IFERROR(VLOOKUP(B420,Customers!A:L,12,FALSE),"")</f>
        <v/>
      </c>
    </row>
    <row r="421">
      <c r="A421" s="5">
        <f>IF(B421="","","OCC-"&amp;TEXT(ROW()-1,"0000"))</f>
        <v/>
      </c>
      <c r="C421" s="5">
        <f>IFERROR(VLOOKUP(B421,Customers!A:B,2,FALSE),"")</f>
        <v/>
      </c>
      <c r="I421" s="5">
        <f>IFERROR(VLOOKUP(B421,Customers!A:L,12,FALSE),"")</f>
        <v/>
      </c>
    </row>
    <row r="422">
      <c r="A422" s="5">
        <f>IF(B422="","","OCC-"&amp;TEXT(ROW()-1,"0000"))</f>
        <v/>
      </c>
      <c r="C422" s="5">
        <f>IFERROR(VLOOKUP(B422,Customers!A:B,2,FALSE),"")</f>
        <v/>
      </c>
      <c r="I422" s="5">
        <f>IFERROR(VLOOKUP(B422,Customers!A:L,12,FALSE),"")</f>
        <v/>
      </c>
    </row>
    <row r="423">
      <c r="A423" s="5">
        <f>IF(B423="","","OCC-"&amp;TEXT(ROW()-1,"0000"))</f>
        <v/>
      </c>
      <c r="C423" s="5">
        <f>IFERROR(VLOOKUP(B423,Customers!A:B,2,FALSE),"")</f>
        <v/>
      </c>
      <c r="I423" s="5">
        <f>IFERROR(VLOOKUP(B423,Customers!A:L,12,FALSE),"")</f>
        <v/>
      </c>
    </row>
    <row r="424">
      <c r="A424" s="5">
        <f>IF(B424="","","OCC-"&amp;TEXT(ROW()-1,"0000"))</f>
        <v/>
      </c>
      <c r="C424" s="5">
        <f>IFERROR(VLOOKUP(B424,Customers!A:B,2,FALSE),"")</f>
        <v/>
      </c>
      <c r="I424" s="5">
        <f>IFERROR(VLOOKUP(B424,Customers!A:L,12,FALSE),"")</f>
        <v/>
      </c>
    </row>
    <row r="425">
      <c r="A425" s="5">
        <f>IF(B425="","","OCC-"&amp;TEXT(ROW()-1,"0000"))</f>
        <v/>
      </c>
      <c r="C425" s="5">
        <f>IFERROR(VLOOKUP(B425,Customers!A:B,2,FALSE),"")</f>
        <v/>
      </c>
      <c r="I425" s="5">
        <f>IFERROR(VLOOKUP(B425,Customers!A:L,12,FALSE),"")</f>
        <v/>
      </c>
    </row>
    <row r="426">
      <c r="A426" s="5">
        <f>IF(B426="","","OCC-"&amp;TEXT(ROW()-1,"0000"))</f>
        <v/>
      </c>
      <c r="C426" s="5">
        <f>IFERROR(VLOOKUP(B426,Customers!A:B,2,FALSE),"")</f>
        <v/>
      </c>
      <c r="I426" s="5">
        <f>IFERROR(VLOOKUP(B426,Customers!A:L,12,FALSE),"")</f>
        <v/>
      </c>
    </row>
    <row r="427">
      <c r="A427" s="5">
        <f>IF(B427="","","OCC-"&amp;TEXT(ROW()-1,"0000"))</f>
        <v/>
      </c>
      <c r="C427" s="5">
        <f>IFERROR(VLOOKUP(B427,Customers!A:B,2,FALSE),"")</f>
        <v/>
      </c>
      <c r="I427" s="5">
        <f>IFERROR(VLOOKUP(B427,Customers!A:L,12,FALSE),"")</f>
        <v/>
      </c>
    </row>
    <row r="428">
      <c r="A428" s="5">
        <f>IF(B428="","","OCC-"&amp;TEXT(ROW()-1,"0000"))</f>
        <v/>
      </c>
      <c r="C428" s="5">
        <f>IFERROR(VLOOKUP(B428,Customers!A:B,2,FALSE),"")</f>
        <v/>
      </c>
      <c r="I428" s="5">
        <f>IFERROR(VLOOKUP(B428,Customers!A:L,12,FALSE),"")</f>
        <v/>
      </c>
    </row>
    <row r="429">
      <c r="A429" s="5">
        <f>IF(B429="","","OCC-"&amp;TEXT(ROW()-1,"0000"))</f>
        <v/>
      </c>
      <c r="C429" s="5">
        <f>IFERROR(VLOOKUP(B429,Customers!A:B,2,FALSE),"")</f>
        <v/>
      </c>
      <c r="I429" s="5">
        <f>IFERROR(VLOOKUP(B429,Customers!A:L,12,FALSE),"")</f>
        <v/>
      </c>
    </row>
    <row r="430">
      <c r="A430" s="5">
        <f>IF(B430="","","OCC-"&amp;TEXT(ROW()-1,"0000"))</f>
        <v/>
      </c>
      <c r="C430" s="5">
        <f>IFERROR(VLOOKUP(B430,Customers!A:B,2,FALSE),"")</f>
        <v/>
      </c>
      <c r="I430" s="5">
        <f>IFERROR(VLOOKUP(B430,Customers!A:L,12,FALSE),"")</f>
        <v/>
      </c>
    </row>
    <row r="431">
      <c r="A431" s="5">
        <f>IF(B431="","","OCC-"&amp;TEXT(ROW()-1,"0000"))</f>
        <v/>
      </c>
      <c r="C431" s="5">
        <f>IFERROR(VLOOKUP(B431,Customers!A:B,2,FALSE),"")</f>
        <v/>
      </c>
      <c r="I431" s="5">
        <f>IFERROR(VLOOKUP(B431,Customers!A:L,12,FALSE),"")</f>
        <v/>
      </c>
    </row>
    <row r="432">
      <c r="A432" s="5">
        <f>IF(B432="","","OCC-"&amp;TEXT(ROW()-1,"0000"))</f>
        <v/>
      </c>
      <c r="C432" s="5">
        <f>IFERROR(VLOOKUP(B432,Customers!A:B,2,FALSE),"")</f>
        <v/>
      </c>
      <c r="I432" s="5">
        <f>IFERROR(VLOOKUP(B432,Customers!A:L,12,FALSE),"")</f>
        <v/>
      </c>
    </row>
    <row r="433">
      <c r="A433" s="5">
        <f>IF(B433="","","OCC-"&amp;TEXT(ROW()-1,"0000"))</f>
        <v/>
      </c>
      <c r="C433" s="5">
        <f>IFERROR(VLOOKUP(B433,Customers!A:B,2,FALSE),"")</f>
        <v/>
      </c>
      <c r="I433" s="5">
        <f>IFERROR(VLOOKUP(B433,Customers!A:L,12,FALSE),"")</f>
        <v/>
      </c>
    </row>
    <row r="434">
      <c r="A434" s="5">
        <f>IF(B434="","","OCC-"&amp;TEXT(ROW()-1,"0000"))</f>
        <v/>
      </c>
      <c r="C434" s="5">
        <f>IFERROR(VLOOKUP(B434,Customers!A:B,2,FALSE),"")</f>
        <v/>
      </c>
      <c r="I434" s="5">
        <f>IFERROR(VLOOKUP(B434,Customers!A:L,12,FALSE),"")</f>
        <v/>
      </c>
    </row>
    <row r="435">
      <c r="A435" s="5">
        <f>IF(B435="","","OCC-"&amp;TEXT(ROW()-1,"0000"))</f>
        <v/>
      </c>
      <c r="C435" s="5">
        <f>IFERROR(VLOOKUP(B435,Customers!A:B,2,FALSE),"")</f>
        <v/>
      </c>
      <c r="I435" s="5">
        <f>IFERROR(VLOOKUP(B435,Customers!A:L,12,FALSE),"")</f>
        <v/>
      </c>
    </row>
    <row r="436">
      <c r="A436" s="5">
        <f>IF(B436="","","OCC-"&amp;TEXT(ROW()-1,"0000"))</f>
        <v/>
      </c>
      <c r="C436" s="5">
        <f>IFERROR(VLOOKUP(B436,Customers!A:B,2,FALSE),"")</f>
        <v/>
      </c>
      <c r="I436" s="5">
        <f>IFERROR(VLOOKUP(B436,Customers!A:L,12,FALSE),"")</f>
        <v/>
      </c>
    </row>
    <row r="437">
      <c r="A437" s="5">
        <f>IF(B437="","","OCC-"&amp;TEXT(ROW()-1,"0000"))</f>
        <v/>
      </c>
      <c r="C437" s="5">
        <f>IFERROR(VLOOKUP(B437,Customers!A:B,2,FALSE),"")</f>
        <v/>
      </c>
      <c r="I437" s="5">
        <f>IFERROR(VLOOKUP(B437,Customers!A:L,12,FALSE),"")</f>
        <v/>
      </c>
    </row>
    <row r="438">
      <c r="A438" s="5">
        <f>IF(B438="","","OCC-"&amp;TEXT(ROW()-1,"0000"))</f>
        <v/>
      </c>
      <c r="C438" s="5">
        <f>IFERROR(VLOOKUP(B438,Customers!A:B,2,FALSE),"")</f>
        <v/>
      </c>
      <c r="I438" s="5">
        <f>IFERROR(VLOOKUP(B438,Customers!A:L,12,FALSE),"")</f>
        <v/>
      </c>
    </row>
    <row r="439">
      <c r="A439" s="5">
        <f>IF(B439="","","OCC-"&amp;TEXT(ROW()-1,"0000"))</f>
        <v/>
      </c>
      <c r="C439" s="5">
        <f>IFERROR(VLOOKUP(B439,Customers!A:B,2,FALSE),"")</f>
        <v/>
      </c>
      <c r="I439" s="5">
        <f>IFERROR(VLOOKUP(B439,Customers!A:L,12,FALSE),"")</f>
        <v/>
      </c>
    </row>
    <row r="440">
      <c r="A440" s="5">
        <f>IF(B440="","","OCC-"&amp;TEXT(ROW()-1,"0000"))</f>
        <v/>
      </c>
      <c r="C440" s="5">
        <f>IFERROR(VLOOKUP(B440,Customers!A:B,2,FALSE),"")</f>
        <v/>
      </c>
      <c r="I440" s="5">
        <f>IFERROR(VLOOKUP(B440,Customers!A:L,12,FALSE),"")</f>
        <v/>
      </c>
    </row>
    <row r="441">
      <c r="A441" s="5">
        <f>IF(B441="","","OCC-"&amp;TEXT(ROW()-1,"0000"))</f>
        <v/>
      </c>
      <c r="C441" s="5">
        <f>IFERROR(VLOOKUP(B441,Customers!A:B,2,FALSE),"")</f>
        <v/>
      </c>
      <c r="I441" s="5">
        <f>IFERROR(VLOOKUP(B441,Customers!A:L,12,FALSE),"")</f>
        <v/>
      </c>
    </row>
    <row r="442">
      <c r="A442" s="5">
        <f>IF(B442="","","OCC-"&amp;TEXT(ROW()-1,"0000"))</f>
        <v/>
      </c>
      <c r="C442" s="5">
        <f>IFERROR(VLOOKUP(B442,Customers!A:B,2,FALSE),"")</f>
        <v/>
      </c>
      <c r="I442" s="5">
        <f>IFERROR(VLOOKUP(B442,Customers!A:L,12,FALSE),"")</f>
        <v/>
      </c>
    </row>
    <row r="443">
      <c r="A443" s="5">
        <f>IF(B443="","","OCC-"&amp;TEXT(ROW()-1,"0000"))</f>
        <v/>
      </c>
      <c r="C443" s="5">
        <f>IFERROR(VLOOKUP(B443,Customers!A:B,2,FALSE),"")</f>
        <v/>
      </c>
      <c r="I443" s="5">
        <f>IFERROR(VLOOKUP(B443,Customers!A:L,12,FALSE),"")</f>
        <v/>
      </c>
    </row>
    <row r="444">
      <c r="A444" s="5">
        <f>IF(B444="","","OCC-"&amp;TEXT(ROW()-1,"0000"))</f>
        <v/>
      </c>
      <c r="C444" s="5">
        <f>IFERROR(VLOOKUP(B444,Customers!A:B,2,FALSE),"")</f>
        <v/>
      </c>
      <c r="I444" s="5">
        <f>IFERROR(VLOOKUP(B444,Customers!A:L,12,FALSE),"")</f>
        <v/>
      </c>
    </row>
    <row r="445">
      <c r="A445" s="5">
        <f>IF(B445="","","OCC-"&amp;TEXT(ROW()-1,"0000"))</f>
        <v/>
      </c>
      <c r="C445" s="5">
        <f>IFERROR(VLOOKUP(B445,Customers!A:B,2,FALSE),"")</f>
        <v/>
      </c>
      <c r="I445" s="5">
        <f>IFERROR(VLOOKUP(B445,Customers!A:L,12,FALSE),"")</f>
        <v/>
      </c>
    </row>
    <row r="446">
      <c r="A446" s="5">
        <f>IF(B446="","","OCC-"&amp;TEXT(ROW()-1,"0000"))</f>
        <v/>
      </c>
      <c r="C446" s="5">
        <f>IFERROR(VLOOKUP(B446,Customers!A:B,2,FALSE),"")</f>
        <v/>
      </c>
      <c r="I446" s="5">
        <f>IFERROR(VLOOKUP(B446,Customers!A:L,12,FALSE),"")</f>
        <v/>
      </c>
    </row>
    <row r="447">
      <c r="A447" s="5">
        <f>IF(B447="","","OCC-"&amp;TEXT(ROW()-1,"0000"))</f>
        <v/>
      </c>
      <c r="C447" s="5">
        <f>IFERROR(VLOOKUP(B447,Customers!A:B,2,FALSE),"")</f>
        <v/>
      </c>
      <c r="I447" s="5">
        <f>IFERROR(VLOOKUP(B447,Customers!A:L,12,FALSE),"")</f>
        <v/>
      </c>
    </row>
    <row r="448">
      <c r="A448" s="5">
        <f>IF(B448="","","OCC-"&amp;TEXT(ROW()-1,"0000"))</f>
        <v/>
      </c>
      <c r="C448" s="5">
        <f>IFERROR(VLOOKUP(B448,Customers!A:B,2,FALSE),"")</f>
        <v/>
      </c>
      <c r="I448" s="5">
        <f>IFERROR(VLOOKUP(B448,Customers!A:L,12,FALSE),"")</f>
        <v/>
      </c>
    </row>
    <row r="449">
      <c r="A449" s="5">
        <f>IF(B449="","","OCC-"&amp;TEXT(ROW()-1,"0000"))</f>
        <v/>
      </c>
      <c r="C449" s="5">
        <f>IFERROR(VLOOKUP(B449,Customers!A:B,2,FALSE),"")</f>
        <v/>
      </c>
      <c r="I449" s="5">
        <f>IFERROR(VLOOKUP(B449,Customers!A:L,12,FALSE),"")</f>
        <v/>
      </c>
    </row>
    <row r="450">
      <c r="A450" s="5">
        <f>IF(B450="","","OCC-"&amp;TEXT(ROW()-1,"0000"))</f>
        <v/>
      </c>
      <c r="C450" s="5">
        <f>IFERROR(VLOOKUP(B450,Customers!A:B,2,FALSE),"")</f>
        <v/>
      </c>
      <c r="I450" s="5">
        <f>IFERROR(VLOOKUP(B450,Customers!A:L,12,FALSE),"")</f>
        <v/>
      </c>
    </row>
    <row r="451">
      <c r="A451" s="5">
        <f>IF(B451="","","OCC-"&amp;TEXT(ROW()-1,"0000"))</f>
        <v/>
      </c>
      <c r="C451" s="5">
        <f>IFERROR(VLOOKUP(B451,Customers!A:B,2,FALSE),"")</f>
        <v/>
      </c>
      <c r="I451" s="5">
        <f>IFERROR(VLOOKUP(B451,Customers!A:L,12,FALSE),"")</f>
        <v/>
      </c>
    </row>
    <row r="452">
      <c r="A452" s="5">
        <f>IF(B452="","","OCC-"&amp;TEXT(ROW()-1,"0000"))</f>
        <v/>
      </c>
      <c r="C452" s="5">
        <f>IFERROR(VLOOKUP(B452,Customers!A:B,2,FALSE),"")</f>
        <v/>
      </c>
      <c r="I452" s="5">
        <f>IFERROR(VLOOKUP(B452,Customers!A:L,12,FALSE),"")</f>
        <v/>
      </c>
    </row>
    <row r="453">
      <c r="A453" s="5">
        <f>IF(B453="","","OCC-"&amp;TEXT(ROW()-1,"0000"))</f>
        <v/>
      </c>
      <c r="C453" s="5">
        <f>IFERROR(VLOOKUP(B453,Customers!A:B,2,FALSE),"")</f>
        <v/>
      </c>
      <c r="I453" s="5">
        <f>IFERROR(VLOOKUP(B453,Customers!A:L,12,FALSE),"")</f>
        <v/>
      </c>
    </row>
    <row r="454">
      <c r="A454" s="5">
        <f>IF(B454="","","OCC-"&amp;TEXT(ROW()-1,"0000"))</f>
        <v/>
      </c>
      <c r="C454" s="5">
        <f>IFERROR(VLOOKUP(B454,Customers!A:B,2,FALSE),"")</f>
        <v/>
      </c>
      <c r="I454" s="5">
        <f>IFERROR(VLOOKUP(B454,Customers!A:L,12,FALSE),"")</f>
        <v/>
      </c>
    </row>
    <row r="455">
      <c r="A455" s="5">
        <f>IF(B455="","","OCC-"&amp;TEXT(ROW()-1,"0000"))</f>
        <v/>
      </c>
      <c r="C455" s="5">
        <f>IFERROR(VLOOKUP(B455,Customers!A:B,2,FALSE),"")</f>
        <v/>
      </c>
      <c r="I455" s="5">
        <f>IFERROR(VLOOKUP(B455,Customers!A:L,12,FALSE),"")</f>
        <v/>
      </c>
    </row>
    <row r="456">
      <c r="A456" s="5">
        <f>IF(B456="","","OCC-"&amp;TEXT(ROW()-1,"0000"))</f>
        <v/>
      </c>
      <c r="C456" s="5">
        <f>IFERROR(VLOOKUP(B456,Customers!A:B,2,FALSE),"")</f>
        <v/>
      </c>
      <c r="I456" s="5">
        <f>IFERROR(VLOOKUP(B456,Customers!A:L,12,FALSE),"")</f>
        <v/>
      </c>
    </row>
    <row r="457">
      <c r="A457" s="5">
        <f>IF(B457="","","OCC-"&amp;TEXT(ROW()-1,"0000"))</f>
        <v/>
      </c>
      <c r="C457" s="5">
        <f>IFERROR(VLOOKUP(B457,Customers!A:B,2,FALSE),"")</f>
        <v/>
      </c>
      <c r="I457" s="5">
        <f>IFERROR(VLOOKUP(B457,Customers!A:L,12,FALSE),"")</f>
        <v/>
      </c>
    </row>
    <row r="458">
      <c r="A458" s="5">
        <f>IF(B458="","","OCC-"&amp;TEXT(ROW()-1,"0000"))</f>
        <v/>
      </c>
      <c r="C458" s="5">
        <f>IFERROR(VLOOKUP(B458,Customers!A:B,2,FALSE),"")</f>
        <v/>
      </c>
      <c r="I458" s="5">
        <f>IFERROR(VLOOKUP(B458,Customers!A:L,12,FALSE),"")</f>
        <v/>
      </c>
    </row>
    <row r="459">
      <c r="A459" s="5">
        <f>IF(B459="","","OCC-"&amp;TEXT(ROW()-1,"0000"))</f>
        <v/>
      </c>
      <c r="C459" s="5">
        <f>IFERROR(VLOOKUP(B459,Customers!A:B,2,FALSE),"")</f>
        <v/>
      </c>
      <c r="I459" s="5">
        <f>IFERROR(VLOOKUP(B459,Customers!A:L,12,FALSE),"")</f>
        <v/>
      </c>
    </row>
    <row r="460">
      <c r="A460" s="5">
        <f>IF(B460="","","OCC-"&amp;TEXT(ROW()-1,"0000"))</f>
        <v/>
      </c>
      <c r="C460" s="5">
        <f>IFERROR(VLOOKUP(B460,Customers!A:B,2,FALSE),"")</f>
        <v/>
      </c>
      <c r="I460" s="5">
        <f>IFERROR(VLOOKUP(B460,Customers!A:L,12,FALSE),"")</f>
        <v/>
      </c>
    </row>
    <row r="461">
      <c r="A461" s="5">
        <f>IF(B461="","","OCC-"&amp;TEXT(ROW()-1,"0000"))</f>
        <v/>
      </c>
      <c r="C461" s="5">
        <f>IFERROR(VLOOKUP(B461,Customers!A:B,2,FALSE),"")</f>
        <v/>
      </c>
      <c r="I461" s="5">
        <f>IFERROR(VLOOKUP(B461,Customers!A:L,12,FALSE),"")</f>
        <v/>
      </c>
    </row>
    <row r="462">
      <c r="A462" s="5">
        <f>IF(B462="","","OCC-"&amp;TEXT(ROW()-1,"0000"))</f>
        <v/>
      </c>
      <c r="C462" s="5">
        <f>IFERROR(VLOOKUP(B462,Customers!A:B,2,FALSE),"")</f>
        <v/>
      </c>
      <c r="I462" s="5">
        <f>IFERROR(VLOOKUP(B462,Customers!A:L,12,FALSE),"")</f>
        <v/>
      </c>
    </row>
    <row r="463">
      <c r="A463" s="5">
        <f>IF(B463="","","OCC-"&amp;TEXT(ROW()-1,"0000"))</f>
        <v/>
      </c>
      <c r="C463" s="5">
        <f>IFERROR(VLOOKUP(B463,Customers!A:B,2,FALSE),"")</f>
        <v/>
      </c>
      <c r="I463" s="5">
        <f>IFERROR(VLOOKUP(B463,Customers!A:L,12,FALSE),"")</f>
        <v/>
      </c>
    </row>
    <row r="464">
      <c r="A464" s="5">
        <f>IF(B464="","","OCC-"&amp;TEXT(ROW()-1,"0000"))</f>
        <v/>
      </c>
      <c r="C464" s="5">
        <f>IFERROR(VLOOKUP(B464,Customers!A:B,2,FALSE),"")</f>
        <v/>
      </c>
      <c r="I464" s="5">
        <f>IFERROR(VLOOKUP(B464,Customers!A:L,12,FALSE),"")</f>
        <v/>
      </c>
    </row>
    <row r="465">
      <c r="A465" s="5">
        <f>IF(B465="","","OCC-"&amp;TEXT(ROW()-1,"0000"))</f>
        <v/>
      </c>
      <c r="C465" s="5">
        <f>IFERROR(VLOOKUP(B465,Customers!A:B,2,FALSE),"")</f>
        <v/>
      </c>
      <c r="I465" s="5">
        <f>IFERROR(VLOOKUP(B465,Customers!A:L,12,FALSE),"")</f>
        <v/>
      </c>
    </row>
    <row r="466">
      <c r="A466" s="5">
        <f>IF(B466="","","OCC-"&amp;TEXT(ROW()-1,"0000"))</f>
        <v/>
      </c>
      <c r="C466" s="5">
        <f>IFERROR(VLOOKUP(B466,Customers!A:B,2,FALSE),"")</f>
        <v/>
      </c>
      <c r="I466" s="5">
        <f>IFERROR(VLOOKUP(B466,Customers!A:L,12,FALSE),"")</f>
        <v/>
      </c>
    </row>
    <row r="467">
      <c r="A467" s="5">
        <f>IF(B467="","","OCC-"&amp;TEXT(ROW()-1,"0000"))</f>
        <v/>
      </c>
      <c r="C467" s="5">
        <f>IFERROR(VLOOKUP(B467,Customers!A:B,2,FALSE),"")</f>
        <v/>
      </c>
      <c r="I467" s="5">
        <f>IFERROR(VLOOKUP(B467,Customers!A:L,12,FALSE),"")</f>
        <v/>
      </c>
    </row>
    <row r="468">
      <c r="A468" s="5">
        <f>IF(B468="","","OCC-"&amp;TEXT(ROW()-1,"0000"))</f>
        <v/>
      </c>
      <c r="C468" s="5">
        <f>IFERROR(VLOOKUP(B468,Customers!A:B,2,FALSE),"")</f>
        <v/>
      </c>
      <c r="I468" s="5">
        <f>IFERROR(VLOOKUP(B468,Customers!A:L,12,FALSE),"")</f>
        <v/>
      </c>
    </row>
    <row r="469">
      <c r="A469" s="5">
        <f>IF(B469="","","OCC-"&amp;TEXT(ROW()-1,"0000"))</f>
        <v/>
      </c>
      <c r="C469" s="5">
        <f>IFERROR(VLOOKUP(B469,Customers!A:B,2,FALSE),"")</f>
        <v/>
      </c>
      <c r="I469" s="5">
        <f>IFERROR(VLOOKUP(B469,Customers!A:L,12,FALSE),"")</f>
        <v/>
      </c>
    </row>
    <row r="470">
      <c r="A470" s="5">
        <f>IF(B470="","","OCC-"&amp;TEXT(ROW()-1,"0000"))</f>
        <v/>
      </c>
      <c r="C470" s="5">
        <f>IFERROR(VLOOKUP(B470,Customers!A:B,2,FALSE),"")</f>
        <v/>
      </c>
      <c r="I470" s="5">
        <f>IFERROR(VLOOKUP(B470,Customers!A:L,12,FALSE),"")</f>
        <v/>
      </c>
    </row>
    <row r="471">
      <c r="A471" s="5">
        <f>IF(B471="","","OCC-"&amp;TEXT(ROW()-1,"0000"))</f>
        <v/>
      </c>
      <c r="C471" s="5">
        <f>IFERROR(VLOOKUP(B471,Customers!A:B,2,FALSE),"")</f>
        <v/>
      </c>
      <c r="I471" s="5">
        <f>IFERROR(VLOOKUP(B471,Customers!A:L,12,FALSE),"")</f>
        <v/>
      </c>
    </row>
    <row r="472">
      <c r="A472" s="5">
        <f>IF(B472="","","OCC-"&amp;TEXT(ROW()-1,"0000"))</f>
        <v/>
      </c>
      <c r="C472" s="5">
        <f>IFERROR(VLOOKUP(B472,Customers!A:B,2,FALSE),"")</f>
        <v/>
      </c>
      <c r="I472" s="5">
        <f>IFERROR(VLOOKUP(B472,Customers!A:L,12,FALSE),"")</f>
        <v/>
      </c>
    </row>
    <row r="473">
      <c r="A473" s="5">
        <f>IF(B473="","","OCC-"&amp;TEXT(ROW()-1,"0000"))</f>
        <v/>
      </c>
      <c r="C473" s="5">
        <f>IFERROR(VLOOKUP(B473,Customers!A:B,2,FALSE),"")</f>
        <v/>
      </c>
      <c r="I473" s="5">
        <f>IFERROR(VLOOKUP(B473,Customers!A:L,12,FALSE),"")</f>
        <v/>
      </c>
    </row>
    <row r="474">
      <c r="A474" s="5">
        <f>IF(B474="","","OCC-"&amp;TEXT(ROW()-1,"0000"))</f>
        <v/>
      </c>
      <c r="C474" s="5">
        <f>IFERROR(VLOOKUP(B474,Customers!A:B,2,FALSE),"")</f>
        <v/>
      </c>
      <c r="I474" s="5">
        <f>IFERROR(VLOOKUP(B474,Customers!A:L,12,FALSE),"")</f>
        <v/>
      </c>
    </row>
    <row r="475">
      <c r="A475" s="5">
        <f>IF(B475="","","OCC-"&amp;TEXT(ROW()-1,"0000"))</f>
        <v/>
      </c>
      <c r="C475" s="5">
        <f>IFERROR(VLOOKUP(B475,Customers!A:B,2,FALSE),"")</f>
        <v/>
      </c>
      <c r="I475" s="5">
        <f>IFERROR(VLOOKUP(B475,Customers!A:L,12,FALSE),"")</f>
        <v/>
      </c>
    </row>
    <row r="476">
      <c r="A476" s="5">
        <f>IF(B476="","","OCC-"&amp;TEXT(ROW()-1,"0000"))</f>
        <v/>
      </c>
      <c r="C476" s="5">
        <f>IFERROR(VLOOKUP(B476,Customers!A:B,2,FALSE),"")</f>
        <v/>
      </c>
      <c r="I476" s="5">
        <f>IFERROR(VLOOKUP(B476,Customers!A:L,12,FALSE),"")</f>
        <v/>
      </c>
    </row>
    <row r="477">
      <c r="A477" s="5">
        <f>IF(B477="","","OCC-"&amp;TEXT(ROW()-1,"0000"))</f>
        <v/>
      </c>
      <c r="C477" s="5">
        <f>IFERROR(VLOOKUP(B477,Customers!A:B,2,FALSE),"")</f>
        <v/>
      </c>
      <c r="I477" s="5">
        <f>IFERROR(VLOOKUP(B477,Customers!A:L,12,FALSE),"")</f>
        <v/>
      </c>
    </row>
    <row r="478">
      <c r="A478" s="5">
        <f>IF(B478="","","OCC-"&amp;TEXT(ROW()-1,"0000"))</f>
        <v/>
      </c>
      <c r="C478" s="5">
        <f>IFERROR(VLOOKUP(B478,Customers!A:B,2,FALSE),"")</f>
        <v/>
      </c>
      <c r="I478" s="5">
        <f>IFERROR(VLOOKUP(B478,Customers!A:L,12,FALSE),"")</f>
        <v/>
      </c>
    </row>
    <row r="479">
      <c r="A479" s="5">
        <f>IF(B479="","","OCC-"&amp;TEXT(ROW()-1,"0000"))</f>
        <v/>
      </c>
      <c r="C479" s="5">
        <f>IFERROR(VLOOKUP(B479,Customers!A:B,2,FALSE),"")</f>
        <v/>
      </c>
      <c r="I479" s="5">
        <f>IFERROR(VLOOKUP(B479,Customers!A:L,12,FALSE),"")</f>
        <v/>
      </c>
    </row>
    <row r="480">
      <c r="A480" s="5">
        <f>IF(B480="","","OCC-"&amp;TEXT(ROW()-1,"0000"))</f>
        <v/>
      </c>
      <c r="C480" s="5">
        <f>IFERROR(VLOOKUP(B480,Customers!A:B,2,FALSE),"")</f>
        <v/>
      </c>
      <c r="I480" s="5">
        <f>IFERROR(VLOOKUP(B480,Customers!A:L,12,FALSE),"")</f>
        <v/>
      </c>
    </row>
    <row r="481">
      <c r="A481" s="5">
        <f>IF(B481="","","OCC-"&amp;TEXT(ROW()-1,"0000"))</f>
        <v/>
      </c>
      <c r="C481" s="5">
        <f>IFERROR(VLOOKUP(B481,Customers!A:B,2,FALSE),"")</f>
        <v/>
      </c>
      <c r="I481" s="5">
        <f>IFERROR(VLOOKUP(B481,Customers!A:L,12,FALSE),"")</f>
        <v/>
      </c>
    </row>
    <row r="482">
      <c r="A482" s="5">
        <f>IF(B482="","","OCC-"&amp;TEXT(ROW()-1,"0000"))</f>
        <v/>
      </c>
      <c r="C482" s="5">
        <f>IFERROR(VLOOKUP(B482,Customers!A:B,2,FALSE),"")</f>
        <v/>
      </c>
      <c r="I482" s="5">
        <f>IFERROR(VLOOKUP(B482,Customers!A:L,12,FALSE),"")</f>
        <v/>
      </c>
    </row>
    <row r="483">
      <c r="A483" s="5">
        <f>IF(B483="","","OCC-"&amp;TEXT(ROW()-1,"0000"))</f>
        <v/>
      </c>
      <c r="C483" s="5">
        <f>IFERROR(VLOOKUP(B483,Customers!A:B,2,FALSE),"")</f>
        <v/>
      </c>
      <c r="I483" s="5">
        <f>IFERROR(VLOOKUP(B483,Customers!A:L,12,FALSE),"")</f>
        <v/>
      </c>
    </row>
    <row r="484">
      <c r="A484" s="5">
        <f>IF(B484="","","OCC-"&amp;TEXT(ROW()-1,"0000"))</f>
        <v/>
      </c>
      <c r="C484" s="5">
        <f>IFERROR(VLOOKUP(B484,Customers!A:B,2,FALSE),"")</f>
        <v/>
      </c>
      <c r="I484" s="5">
        <f>IFERROR(VLOOKUP(B484,Customers!A:L,12,FALSE),"")</f>
        <v/>
      </c>
    </row>
    <row r="485">
      <c r="A485" s="5">
        <f>IF(B485="","","OCC-"&amp;TEXT(ROW()-1,"0000"))</f>
        <v/>
      </c>
      <c r="C485" s="5">
        <f>IFERROR(VLOOKUP(B485,Customers!A:B,2,FALSE),"")</f>
        <v/>
      </c>
      <c r="I485" s="5">
        <f>IFERROR(VLOOKUP(B485,Customers!A:L,12,FALSE),"")</f>
        <v/>
      </c>
    </row>
    <row r="486">
      <c r="A486" s="5">
        <f>IF(B486="","","OCC-"&amp;TEXT(ROW()-1,"0000"))</f>
        <v/>
      </c>
      <c r="C486" s="5">
        <f>IFERROR(VLOOKUP(B486,Customers!A:B,2,FALSE),"")</f>
        <v/>
      </c>
      <c r="I486" s="5">
        <f>IFERROR(VLOOKUP(B486,Customers!A:L,12,FALSE),"")</f>
        <v/>
      </c>
    </row>
    <row r="487">
      <c r="A487" s="5">
        <f>IF(B487="","","OCC-"&amp;TEXT(ROW()-1,"0000"))</f>
        <v/>
      </c>
      <c r="C487" s="5">
        <f>IFERROR(VLOOKUP(B487,Customers!A:B,2,FALSE),"")</f>
        <v/>
      </c>
      <c r="I487" s="5">
        <f>IFERROR(VLOOKUP(B487,Customers!A:L,12,FALSE),"")</f>
        <v/>
      </c>
    </row>
    <row r="488">
      <c r="A488" s="5">
        <f>IF(B488="","","OCC-"&amp;TEXT(ROW()-1,"0000"))</f>
        <v/>
      </c>
      <c r="C488" s="5">
        <f>IFERROR(VLOOKUP(B488,Customers!A:B,2,FALSE),"")</f>
        <v/>
      </c>
      <c r="I488" s="5">
        <f>IFERROR(VLOOKUP(B488,Customers!A:L,12,FALSE),"")</f>
        <v/>
      </c>
    </row>
    <row r="489">
      <c r="A489" s="5">
        <f>IF(B489="","","OCC-"&amp;TEXT(ROW()-1,"0000"))</f>
        <v/>
      </c>
      <c r="C489" s="5">
        <f>IFERROR(VLOOKUP(B489,Customers!A:B,2,FALSE),"")</f>
        <v/>
      </c>
      <c r="I489" s="5">
        <f>IFERROR(VLOOKUP(B489,Customers!A:L,12,FALSE),"")</f>
        <v/>
      </c>
    </row>
    <row r="490">
      <c r="A490" s="5">
        <f>IF(B490="","","OCC-"&amp;TEXT(ROW()-1,"0000"))</f>
        <v/>
      </c>
      <c r="C490" s="5">
        <f>IFERROR(VLOOKUP(B490,Customers!A:B,2,FALSE),"")</f>
        <v/>
      </c>
      <c r="I490" s="5">
        <f>IFERROR(VLOOKUP(B490,Customers!A:L,12,FALSE),"")</f>
        <v/>
      </c>
    </row>
    <row r="491">
      <c r="A491" s="5">
        <f>IF(B491="","","OCC-"&amp;TEXT(ROW()-1,"0000"))</f>
        <v/>
      </c>
      <c r="C491" s="5">
        <f>IFERROR(VLOOKUP(B491,Customers!A:B,2,FALSE),"")</f>
        <v/>
      </c>
      <c r="I491" s="5">
        <f>IFERROR(VLOOKUP(B491,Customers!A:L,12,FALSE),"")</f>
        <v/>
      </c>
    </row>
    <row r="492">
      <c r="A492" s="5">
        <f>IF(B492="","","OCC-"&amp;TEXT(ROW()-1,"0000"))</f>
        <v/>
      </c>
      <c r="C492" s="5">
        <f>IFERROR(VLOOKUP(B492,Customers!A:B,2,FALSE),"")</f>
        <v/>
      </c>
      <c r="I492" s="5">
        <f>IFERROR(VLOOKUP(B492,Customers!A:L,12,FALSE),"")</f>
        <v/>
      </c>
    </row>
    <row r="493">
      <c r="A493" s="5">
        <f>IF(B493="","","OCC-"&amp;TEXT(ROW()-1,"0000"))</f>
        <v/>
      </c>
      <c r="C493" s="5">
        <f>IFERROR(VLOOKUP(B493,Customers!A:B,2,FALSE),"")</f>
        <v/>
      </c>
      <c r="I493" s="5">
        <f>IFERROR(VLOOKUP(B493,Customers!A:L,12,FALSE),"")</f>
        <v/>
      </c>
    </row>
    <row r="494">
      <c r="A494" s="5">
        <f>IF(B494="","","OCC-"&amp;TEXT(ROW()-1,"0000"))</f>
        <v/>
      </c>
      <c r="C494" s="5">
        <f>IFERROR(VLOOKUP(B494,Customers!A:B,2,FALSE),"")</f>
        <v/>
      </c>
      <c r="I494" s="5">
        <f>IFERROR(VLOOKUP(B494,Customers!A:L,12,FALSE),"")</f>
        <v/>
      </c>
    </row>
    <row r="495">
      <c r="A495" s="5">
        <f>IF(B495="","","OCC-"&amp;TEXT(ROW()-1,"0000"))</f>
        <v/>
      </c>
      <c r="C495" s="5">
        <f>IFERROR(VLOOKUP(B495,Customers!A:B,2,FALSE),"")</f>
        <v/>
      </c>
      <c r="I495" s="5">
        <f>IFERROR(VLOOKUP(B495,Customers!A:L,12,FALSE),"")</f>
        <v/>
      </c>
    </row>
    <row r="496">
      <c r="A496" s="5">
        <f>IF(B496="","","OCC-"&amp;TEXT(ROW()-1,"0000"))</f>
        <v/>
      </c>
      <c r="C496" s="5">
        <f>IFERROR(VLOOKUP(B496,Customers!A:B,2,FALSE),"")</f>
        <v/>
      </c>
      <c r="I496" s="5">
        <f>IFERROR(VLOOKUP(B496,Customers!A:L,12,FALSE),"")</f>
        <v/>
      </c>
    </row>
    <row r="497">
      <c r="A497" s="5">
        <f>IF(B497="","","OCC-"&amp;TEXT(ROW()-1,"0000"))</f>
        <v/>
      </c>
      <c r="C497" s="5">
        <f>IFERROR(VLOOKUP(B497,Customers!A:B,2,FALSE),"")</f>
        <v/>
      </c>
      <c r="I497" s="5">
        <f>IFERROR(VLOOKUP(B497,Customers!A:L,12,FALSE),"")</f>
        <v/>
      </c>
    </row>
    <row r="498">
      <c r="A498" s="5">
        <f>IF(B498="","","OCC-"&amp;TEXT(ROW()-1,"0000"))</f>
        <v/>
      </c>
      <c r="C498" s="5">
        <f>IFERROR(VLOOKUP(B498,Customers!A:B,2,FALSE),"")</f>
        <v/>
      </c>
      <c r="I498" s="5">
        <f>IFERROR(VLOOKUP(B498,Customers!A:L,12,FALSE),"")</f>
        <v/>
      </c>
    </row>
    <row r="499">
      <c r="A499" s="5">
        <f>IF(B499="","","OCC-"&amp;TEXT(ROW()-1,"0000"))</f>
        <v/>
      </c>
      <c r="C499" s="5">
        <f>IFERROR(VLOOKUP(B499,Customers!A:B,2,FALSE),"")</f>
        <v/>
      </c>
      <c r="I499" s="5">
        <f>IFERROR(VLOOKUP(B499,Customers!A:L,12,FALSE),"")</f>
        <v/>
      </c>
    </row>
    <row r="500">
      <c r="A500" s="5">
        <f>IF(B500="","","OCC-"&amp;TEXT(ROW()-1,"0000"))</f>
        <v/>
      </c>
      <c r="C500" s="5">
        <f>IFERROR(VLOOKUP(B500,Customers!A:B,2,FALSE),"")</f>
        <v/>
      </c>
      <c r="I500" s="5">
        <f>IFERROR(VLOOKUP(B500,Customers!A:L,12,FALSE),"")</f>
        <v/>
      </c>
    </row>
    <row r="501">
      <c r="A501" s="5">
        <f>IF(B501="","","OCC-"&amp;TEXT(ROW()-1,"0000"))</f>
        <v/>
      </c>
      <c r="C501" s="5">
        <f>IFERROR(VLOOKUP(B501,Customers!A:B,2,FALSE),"")</f>
        <v/>
      </c>
      <c r="I501" s="5">
        <f>IFERROR(VLOOKUP(B501,Customers!A:L,12,FALSE),"")</f>
        <v/>
      </c>
    </row>
  </sheetData>
  <dataValidations count="1">
    <dataValidation sqref="D2:D1000" showDropDown="0" showInputMessage="0" showErrorMessage="0" allowBlank="1" type="list">
      <formula1>"Birthday (self),Birthday (kid),Anniversary,Wedding date,Diwali bulk,Other"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  <col width="22" customWidth="1" min="10" max="10"/>
    <col width="13" customWidth="1" min="11" max="11"/>
    <col width="32" customWidth="1" min="12" max="12"/>
  </cols>
  <sheetData>
    <row r="1" ht="36" customHeight="1">
      <c r="A1" s="4" t="inlineStr">
        <is>
          <t>Date</t>
        </is>
      </c>
      <c r="B1" s="4" t="inlineStr">
        <is>
          <t>Day</t>
        </is>
      </c>
      <c r="C1" s="4" t="inlineStr">
        <is>
          <t>Cake slots (total)</t>
        </is>
      </c>
      <c r="D1" s="4" t="inlineStr">
        <is>
          <t>Cake slots (used)</t>
        </is>
      </c>
      <c r="E1" s="4" t="inlineStr">
        <is>
          <t>Cupcake dozens (total)</t>
        </is>
      </c>
      <c r="F1" s="4" t="inlineStr">
        <is>
          <t>Cupcake dozens (used)</t>
        </is>
      </c>
      <c r="G1" s="4" t="inlineStr">
        <is>
          <t>Bomboloni batches (total)</t>
        </is>
      </c>
      <c r="H1" s="4" t="inlineStr">
        <is>
          <t>Bomboloni batches (used)</t>
        </is>
      </c>
      <c r="I1" s="4" t="inlineStr">
        <is>
          <t>Blocked</t>
        </is>
      </c>
      <c r="J1" s="4" t="inlineStr">
        <is>
          <t>Block reason</t>
        </is>
      </c>
      <c r="K1" s="4" t="inlineStr">
        <is>
          <t>Utilisation %</t>
        </is>
      </c>
      <c r="L1" s="4" t="inlineStr">
        <is>
          <t>Notes</t>
        </is>
      </c>
    </row>
    <row r="2">
      <c r="A2" s="8" t="n">
        <v>46166</v>
      </c>
      <c r="B2" s="5">
        <f>TEXT(A2,"ddd")</f>
        <v/>
      </c>
      <c r="C2" t="n">
        <v>5</v>
      </c>
      <c r="D2" s="5">
        <f>COUNTIFS(Orders!E:E,A2,Orders!F:F,"Cake")</f>
        <v/>
      </c>
      <c r="E2" t="n">
        <v>4</v>
      </c>
      <c r="F2" s="5">
        <f>COUNTIFS(Orders!E:E,A2,Orders!F:F,"Cupcakes")</f>
        <v/>
      </c>
      <c r="G2" t="n">
        <v>1</v>
      </c>
      <c r="H2" s="5">
        <f>COUNTIFS(Orders!E:E,A2,Orders!F:F,"Bomboloni")</f>
        <v/>
      </c>
      <c r="I2" t="inlineStr">
        <is>
          <t>N</t>
        </is>
      </c>
      <c r="K2" s="5">
        <f>IFERROR((D2/C2+F2/E2+H2/G2)/3,0)</f>
        <v/>
      </c>
    </row>
    <row r="3">
      <c r="A3" s="8" t="n">
        <v>46167</v>
      </c>
      <c r="B3" s="5">
        <f>TEXT(A3,"ddd")</f>
        <v/>
      </c>
      <c r="C3" t="n">
        <v>3</v>
      </c>
      <c r="D3" s="5">
        <f>COUNTIFS(Orders!E:E,A3,Orders!F:F,"Cake")</f>
        <v/>
      </c>
      <c r="E3" t="n">
        <v>4</v>
      </c>
      <c r="F3" s="5">
        <f>COUNTIFS(Orders!E:E,A3,Orders!F:F,"Cupcakes")</f>
        <v/>
      </c>
      <c r="G3" t="n">
        <v>1</v>
      </c>
      <c r="H3" s="5">
        <f>COUNTIFS(Orders!E:E,A3,Orders!F:F,"Bomboloni")</f>
        <v/>
      </c>
      <c r="I3" t="inlineStr">
        <is>
          <t>N</t>
        </is>
      </c>
      <c r="K3" s="5">
        <f>IFERROR((D3/C3+F3/E3+H3/G3)/3,0)</f>
        <v/>
      </c>
    </row>
    <row r="4">
      <c r="A4" s="8" t="n">
        <v>46168</v>
      </c>
      <c r="B4" s="5">
        <f>TEXT(A4,"ddd")</f>
        <v/>
      </c>
      <c r="C4" t="n">
        <v>3</v>
      </c>
      <c r="D4" s="5">
        <f>COUNTIFS(Orders!E:E,A4,Orders!F:F,"Cake")</f>
        <v/>
      </c>
      <c r="E4" t="n">
        <v>4</v>
      </c>
      <c r="F4" s="5">
        <f>COUNTIFS(Orders!E:E,A4,Orders!F:F,"Cupcakes")</f>
        <v/>
      </c>
      <c r="G4" t="n">
        <v>1</v>
      </c>
      <c r="H4" s="5">
        <f>COUNTIFS(Orders!E:E,A4,Orders!F:F,"Bomboloni")</f>
        <v/>
      </c>
      <c r="I4" t="inlineStr">
        <is>
          <t>N</t>
        </is>
      </c>
      <c r="K4" s="5">
        <f>IFERROR((D4/C4+F4/E4+H4/G4)/3,0)</f>
        <v/>
      </c>
    </row>
    <row r="5">
      <c r="A5" s="8" t="n">
        <v>46169</v>
      </c>
      <c r="B5" s="5">
        <f>TEXT(A5,"ddd")</f>
        <v/>
      </c>
      <c r="C5" t="n">
        <v>3</v>
      </c>
      <c r="D5" s="5">
        <f>COUNTIFS(Orders!E:E,A5,Orders!F:F,"Cake")</f>
        <v/>
      </c>
      <c r="E5" t="n">
        <v>4</v>
      </c>
      <c r="F5" s="5">
        <f>COUNTIFS(Orders!E:E,A5,Orders!F:F,"Cupcakes")</f>
        <v/>
      </c>
      <c r="G5" t="n">
        <v>1</v>
      </c>
      <c r="H5" s="5">
        <f>COUNTIFS(Orders!E:E,A5,Orders!F:F,"Bomboloni")</f>
        <v/>
      </c>
      <c r="I5" t="inlineStr">
        <is>
          <t>N</t>
        </is>
      </c>
      <c r="K5" s="5">
        <f>IFERROR((D5/C5+F5/E5+H5/G5)/3,0)</f>
        <v/>
      </c>
    </row>
    <row r="6">
      <c r="A6" s="8" t="n">
        <v>46170</v>
      </c>
      <c r="B6" s="5">
        <f>TEXT(A6,"ddd")</f>
        <v/>
      </c>
      <c r="C6" t="n">
        <v>3</v>
      </c>
      <c r="D6" s="5">
        <f>COUNTIFS(Orders!E:E,A6,Orders!F:F,"Cake")</f>
        <v/>
      </c>
      <c r="E6" t="n">
        <v>4</v>
      </c>
      <c r="F6" s="5">
        <f>COUNTIFS(Orders!E:E,A6,Orders!F:F,"Cupcakes")</f>
        <v/>
      </c>
      <c r="G6" t="n">
        <v>1</v>
      </c>
      <c r="H6" s="5">
        <f>COUNTIFS(Orders!E:E,A6,Orders!F:F,"Bomboloni")</f>
        <v/>
      </c>
      <c r="I6" t="inlineStr">
        <is>
          <t>N</t>
        </is>
      </c>
      <c r="K6" s="5">
        <f>IFERROR((D6/C6+F6/E6+H6/G6)/3,0)</f>
        <v/>
      </c>
    </row>
    <row r="7">
      <c r="A7" s="8" t="n">
        <v>46171</v>
      </c>
      <c r="B7" s="5">
        <f>TEXT(A7,"ddd")</f>
        <v/>
      </c>
      <c r="C7" t="n">
        <v>3</v>
      </c>
      <c r="D7" s="5">
        <f>COUNTIFS(Orders!E:E,A7,Orders!F:F,"Cake")</f>
        <v/>
      </c>
      <c r="E7" t="n">
        <v>4</v>
      </c>
      <c r="F7" s="5">
        <f>COUNTIFS(Orders!E:E,A7,Orders!F:F,"Cupcakes")</f>
        <v/>
      </c>
      <c r="G7" t="n">
        <v>1</v>
      </c>
      <c r="H7" s="5">
        <f>COUNTIFS(Orders!E:E,A7,Orders!F:F,"Bomboloni")</f>
        <v/>
      </c>
      <c r="I7" t="inlineStr">
        <is>
          <t>N</t>
        </is>
      </c>
      <c r="K7" s="5">
        <f>IFERROR((D7/C7+F7/E7+H7/G7)/3,0)</f>
        <v/>
      </c>
    </row>
    <row r="8">
      <c r="A8" s="8" t="n">
        <v>46172</v>
      </c>
      <c r="B8" s="5">
        <f>TEXT(A8,"ddd")</f>
        <v/>
      </c>
      <c r="C8" t="n">
        <v>5</v>
      </c>
      <c r="D8" s="5">
        <f>COUNTIFS(Orders!E:E,A8,Orders!F:F,"Cake")</f>
        <v/>
      </c>
      <c r="E8" t="n">
        <v>4</v>
      </c>
      <c r="F8" s="5">
        <f>COUNTIFS(Orders!E:E,A8,Orders!F:F,"Cupcakes")</f>
        <v/>
      </c>
      <c r="G8" t="n">
        <v>1</v>
      </c>
      <c r="H8" s="5">
        <f>COUNTIFS(Orders!E:E,A8,Orders!F:F,"Bomboloni")</f>
        <v/>
      </c>
      <c r="I8" t="inlineStr">
        <is>
          <t>N</t>
        </is>
      </c>
      <c r="K8" s="5">
        <f>IFERROR((D8/C8+F8/E8+H8/G8)/3,0)</f>
        <v/>
      </c>
    </row>
    <row r="9">
      <c r="A9" s="8" t="n">
        <v>46173</v>
      </c>
      <c r="B9" s="5">
        <f>TEXT(A9,"ddd")</f>
        <v/>
      </c>
      <c r="C9" t="n">
        <v>5</v>
      </c>
      <c r="D9" s="5">
        <f>COUNTIFS(Orders!E:E,A9,Orders!F:F,"Cake")</f>
        <v/>
      </c>
      <c r="E9" t="n">
        <v>4</v>
      </c>
      <c r="F9" s="5">
        <f>COUNTIFS(Orders!E:E,A9,Orders!F:F,"Cupcakes")</f>
        <v/>
      </c>
      <c r="G9" t="n">
        <v>1</v>
      </c>
      <c r="H9" s="5">
        <f>COUNTIFS(Orders!E:E,A9,Orders!F:F,"Bomboloni")</f>
        <v/>
      </c>
      <c r="I9" t="inlineStr">
        <is>
          <t>N</t>
        </is>
      </c>
      <c r="K9" s="5">
        <f>IFERROR((D9/C9+F9/E9+H9/G9)/3,0)</f>
        <v/>
      </c>
    </row>
    <row r="10">
      <c r="A10" s="8" t="n">
        <v>46174</v>
      </c>
      <c r="B10" s="5">
        <f>TEXT(A10,"ddd")</f>
        <v/>
      </c>
      <c r="C10" t="n">
        <v>3</v>
      </c>
      <c r="D10" s="5">
        <f>COUNTIFS(Orders!E:E,A10,Orders!F:F,"Cake")</f>
        <v/>
      </c>
      <c r="E10" t="n">
        <v>4</v>
      </c>
      <c r="F10" s="5">
        <f>COUNTIFS(Orders!E:E,A10,Orders!F:F,"Cupcakes")</f>
        <v/>
      </c>
      <c r="G10" t="n">
        <v>1</v>
      </c>
      <c r="H10" s="5">
        <f>COUNTIFS(Orders!E:E,A10,Orders!F:F,"Bomboloni")</f>
        <v/>
      </c>
      <c r="I10" t="inlineStr">
        <is>
          <t>N</t>
        </is>
      </c>
      <c r="K10" s="5">
        <f>IFERROR((D10/C10+F10/E10+H10/G10)/3,0)</f>
        <v/>
      </c>
    </row>
    <row r="11">
      <c r="A11" s="8" t="n">
        <v>46175</v>
      </c>
      <c r="B11" s="5">
        <f>TEXT(A11,"ddd")</f>
        <v/>
      </c>
      <c r="C11" t="n">
        <v>3</v>
      </c>
      <c r="D11" s="5">
        <f>COUNTIFS(Orders!E:E,A11,Orders!F:F,"Cake")</f>
        <v/>
      </c>
      <c r="E11" t="n">
        <v>4</v>
      </c>
      <c r="F11" s="5">
        <f>COUNTIFS(Orders!E:E,A11,Orders!F:F,"Cupcakes")</f>
        <v/>
      </c>
      <c r="G11" t="n">
        <v>1</v>
      </c>
      <c r="H11" s="5">
        <f>COUNTIFS(Orders!E:E,A11,Orders!F:F,"Bomboloni")</f>
        <v/>
      </c>
      <c r="I11" t="inlineStr">
        <is>
          <t>N</t>
        </is>
      </c>
      <c r="K11" s="5">
        <f>IFERROR((D11/C11+F11/E11+H11/G11)/3,0)</f>
        <v/>
      </c>
    </row>
    <row r="12">
      <c r="A12" s="8" t="n">
        <v>46176</v>
      </c>
      <c r="B12" s="5">
        <f>TEXT(A12,"ddd")</f>
        <v/>
      </c>
      <c r="C12" t="n">
        <v>3</v>
      </c>
      <c r="D12" s="5">
        <f>COUNTIFS(Orders!E:E,A12,Orders!F:F,"Cake")</f>
        <v/>
      </c>
      <c r="E12" t="n">
        <v>4</v>
      </c>
      <c r="F12" s="5">
        <f>COUNTIFS(Orders!E:E,A12,Orders!F:F,"Cupcakes")</f>
        <v/>
      </c>
      <c r="G12" t="n">
        <v>1</v>
      </c>
      <c r="H12" s="5">
        <f>COUNTIFS(Orders!E:E,A12,Orders!F:F,"Bomboloni")</f>
        <v/>
      </c>
      <c r="I12" t="inlineStr">
        <is>
          <t>N</t>
        </is>
      </c>
      <c r="K12" s="5">
        <f>IFERROR((D12/C12+F12/E12+H12/G12)/3,0)</f>
        <v/>
      </c>
    </row>
    <row r="13">
      <c r="A13" s="8" t="n">
        <v>46177</v>
      </c>
      <c r="B13" s="5">
        <f>TEXT(A13,"ddd")</f>
        <v/>
      </c>
      <c r="C13" t="n">
        <v>3</v>
      </c>
      <c r="D13" s="5">
        <f>COUNTIFS(Orders!E:E,A13,Orders!F:F,"Cake")</f>
        <v/>
      </c>
      <c r="E13" t="n">
        <v>4</v>
      </c>
      <c r="F13" s="5">
        <f>COUNTIFS(Orders!E:E,A13,Orders!F:F,"Cupcakes")</f>
        <v/>
      </c>
      <c r="G13" t="n">
        <v>1</v>
      </c>
      <c r="H13" s="5">
        <f>COUNTIFS(Orders!E:E,A13,Orders!F:F,"Bomboloni")</f>
        <v/>
      </c>
      <c r="I13" t="inlineStr">
        <is>
          <t>N</t>
        </is>
      </c>
      <c r="K13" s="5">
        <f>IFERROR((D13/C13+F13/E13+H13/G13)/3,0)</f>
        <v/>
      </c>
    </row>
    <row r="14">
      <c r="A14" s="8" t="n">
        <v>46178</v>
      </c>
      <c r="B14" s="5">
        <f>TEXT(A14,"ddd")</f>
        <v/>
      </c>
      <c r="C14" t="n">
        <v>3</v>
      </c>
      <c r="D14" s="5">
        <f>COUNTIFS(Orders!E:E,A14,Orders!F:F,"Cake")</f>
        <v/>
      </c>
      <c r="E14" t="n">
        <v>4</v>
      </c>
      <c r="F14" s="5">
        <f>COUNTIFS(Orders!E:E,A14,Orders!F:F,"Cupcakes")</f>
        <v/>
      </c>
      <c r="G14" t="n">
        <v>1</v>
      </c>
      <c r="H14" s="5">
        <f>COUNTIFS(Orders!E:E,A14,Orders!F:F,"Bomboloni")</f>
        <v/>
      </c>
      <c r="I14" t="inlineStr">
        <is>
          <t>N</t>
        </is>
      </c>
      <c r="K14" s="5">
        <f>IFERROR((D14/C14+F14/E14+H14/G14)/3,0)</f>
        <v/>
      </c>
    </row>
    <row r="15">
      <c r="A15" s="8" t="n">
        <v>46179</v>
      </c>
      <c r="B15" s="5">
        <f>TEXT(A15,"ddd")</f>
        <v/>
      </c>
      <c r="C15" t="n">
        <v>5</v>
      </c>
      <c r="D15" s="5">
        <f>COUNTIFS(Orders!E:E,A15,Orders!F:F,"Cake")</f>
        <v/>
      </c>
      <c r="E15" t="n">
        <v>4</v>
      </c>
      <c r="F15" s="5">
        <f>COUNTIFS(Orders!E:E,A15,Orders!F:F,"Cupcakes")</f>
        <v/>
      </c>
      <c r="G15" t="n">
        <v>1</v>
      </c>
      <c r="H15" s="5">
        <f>COUNTIFS(Orders!E:E,A15,Orders!F:F,"Bomboloni")</f>
        <v/>
      </c>
      <c r="I15" t="inlineStr">
        <is>
          <t>N</t>
        </is>
      </c>
      <c r="K15" s="5">
        <f>IFERROR((D15/C15+F15/E15+H15/G15)/3,0)</f>
        <v/>
      </c>
    </row>
    <row r="16">
      <c r="A16" s="8" t="n">
        <v>46180</v>
      </c>
      <c r="B16" s="5">
        <f>TEXT(A16,"ddd")</f>
        <v/>
      </c>
      <c r="C16" t="n">
        <v>5</v>
      </c>
      <c r="D16" s="5">
        <f>COUNTIFS(Orders!E:E,A16,Orders!F:F,"Cake")</f>
        <v/>
      </c>
      <c r="E16" t="n">
        <v>4</v>
      </c>
      <c r="F16" s="5">
        <f>COUNTIFS(Orders!E:E,A16,Orders!F:F,"Cupcakes")</f>
        <v/>
      </c>
      <c r="G16" t="n">
        <v>1</v>
      </c>
      <c r="H16" s="5">
        <f>COUNTIFS(Orders!E:E,A16,Orders!F:F,"Bomboloni")</f>
        <v/>
      </c>
      <c r="I16" t="inlineStr">
        <is>
          <t>N</t>
        </is>
      </c>
      <c r="K16" s="5">
        <f>IFERROR((D16/C16+F16/E16+H16/G16)/3,0)</f>
        <v/>
      </c>
    </row>
    <row r="17">
      <c r="A17" s="8" t="n">
        <v>46181</v>
      </c>
      <c r="B17" s="5">
        <f>TEXT(A17,"ddd")</f>
        <v/>
      </c>
      <c r="C17" t="n">
        <v>3</v>
      </c>
      <c r="D17" s="5">
        <f>COUNTIFS(Orders!E:E,A17,Orders!F:F,"Cake")</f>
        <v/>
      </c>
      <c r="E17" t="n">
        <v>4</v>
      </c>
      <c r="F17" s="5">
        <f>COUNTIFS(Orders!E:E,A17,Orders!F:F,"Cupcakes")</f>
        <v/>
      </c>
      <c r="G17" t="n">
        <v>1</v>
      </c>
      <c r="H17" s="5">
        <f>COUNTIFS(Orders!E:E,A17,Orders!F:F,"Bomboloni")</f>
        <v/>
      </c>
      <c r="I17" t="inlineStr">
        <is>
          <t>N</t>
        </is>
      </c>
      <c r="K17" s="5">
        <f>IFERROR((D17/C17+F17/E17+H17/G17)/3,0)</f>
        <v/>
      </c>
    </row>
    <row r="18">
      <c r="A18" s="8" t="n">
        <v>46182</v>
      </c>
      <c r="B18" s="5">
        <f>TEXT(A18,"ddd")</f>
        <v/>
      </c>
      <c r="C18" t="n">
        <v>3</v>
      </c>
      <c r="D18" s="5">
        <f>COUNTIFS(Orders!E:E,A18,Orders!F:F,"Cake")</f>
        <v/>
      </c>
      <c r="E18" t="n">
        <v>4</v>
      </c>
      <c r="F18" s="5">
        <f>COUNTIFS(Orders!E:E,A18,Orders!F:F,"Cupcakes")</f>
        <v/>
      </c>
      <c r="G18" t="n">
        <v>1</v>
      </c>
      <c r="H18" s="5">
        <f>COUNTIFS(Orders!E:E,A18,Orders!F:F,"Bomboloni")</f>
        <v/>
      </c>
      <c r="I18" t="inlineStr">
        <is>
          <t>N</t>
        </is>
      </c>
      <c r="K18" s="5">
        <f>IFERROR((D18/C18+F18/E18+H18/G18)/3,0)</f>
        <v/>
      </c>
    </row>
    <row r="19">
      <c r="A19" s="8" t="n">
        <v>46183</v>
      </c>
      <c r="B19" s="5">
        <f>TEXT(A19,"ddd")</f>
        <v/>
      </c>
      <c r="C19" t="n">
        <v>3</v>
      </c>
      <c r="D19" s="5">
        <f>COUNTIFS(Orders!E:E,A19,Orders!F:F,"Cake")</f>
        <v/>
      </c>
      <c r="E19" t="n">
        <v>4</v>
      </c>
      <c r="F19" s="5">
        <f>COUNTIFS(Orders!E:E,A19,Orders!F:F,"Cupcakes")</f>
        <v/>
      </c>
      <c r="G19" t="n">
        <v>1</v>
      </c>
      <c r="H19" s="5">
        <f>COUNTIFS(Orders!E:E,A19,Orders!F:F,"Bomboloni")</f>
        <v/>
      </c>
      <c r="I19" t="inlineStr">
        <is>
          <t>N</t>
        </is>
      </c>
      <c r="K19" s="5">
        <f>IFERROR((D19/C19+F19/E19+H19/G19)/3,0)</f>
        <v/>
      </c>
    </row>
    <row r="20">
      <c r="A20" s="8" t="n">
        <v>46184</v>
      </c>
      <c r="B20" s="5">
        <f>TEXT(A20,"ddd")</f>
        <v/>
      </c>
      <c r="C20" t="n">
        <v>3</v>
      </c>
      <c r="D20" s="5">
        <f>COUNTIFS(Orders!E:E,A20,Orders!F:F,"Cake")</f>
        <v/>
      </c>
      <c r="E20" t="n">
        <v>4</v>
      </c>
      <c r="F20" s="5">
        <f>COUNTIFS(Orders!E:E,A20,Orders!F:F,"Cupcakes")</f>
        <v/>
      </c>
      <c r="G20" t="n">
        <v>1</v>
      </c>
      <c r="H20" s="5">
        <f>COUNTIFS(Orders!E:E,A20,Orders!F:F,"Bomboloni")</f>
        <v/>
      </c>
      <c r="I20" t="inlineStr">
        <is>
          <t>N</t>
        </is>
      </c>
      <c r="K20" s="5">
        <f>IFERROR((D20/C20+F20/E20+H20/G20)/3,0)</f>
        <v/>
      </c>
    </row>
    <row r="21">
      <c r="A21" s="8" t="n">
        <v>46185</v>
      </c>
      <c r="B21" s="5">
        <f>TEXT(A21,"ddd")</f>
        <v/>
      </c>
      <c r="C21" t="n">
        <v>3</v>
      </c>
      <c r="D21" s="5">
        <f>COUNTIFS(Orders!E:E,A21,Orders!F:F,"Cake")</f>
        <v/>
      </c>
      <c r="E21" t="n">
        <v>4</v>
      </c>
      <c r="F21" s="5">
        <f>COUNTIFS(Orders!E:E,A21,Orders!F:F,"Cupcakes")</f>
        <v/>
      </c>
      <c r="G21" t="n">
        <v>1</v>
      </c>
      <c r="H21" s="5">
        <f>COUNTIFS(Orders!E:E,A21,Orders!F:F,"Bomboloni")</f>
        <v/>
      </c>
      <c r="I21" t="inlineStr">
        <is>
          <t>N</t>
        </is>
      </c>
      <c r="K21" s="5">
        <f>IFERROR((D21/C21+F21/E21+H21/G21)/3,0)</f>
        <v/>
      </c>
    </row>
    <row r="22">
      <c r="A22" s="8" t="n">
        <v>46186</v>
      </c>
      <c r="B22" s="5">
        <f>TEXT(A22,"ddd")</f>
        <v/>
      </c>
      <c r="C22" t="n">
        <v>5</v>
      </c>
      <c r="D22" s="5">
        <f>COUNTIFS(Orders!E:E,A22,Orders!F:F,"Cake")</f>
        <v/>
      </c>
      <c r="E22" t="n">
        <v>4</v>
      </c>
      <c r="F22" s="5">
        <f>COUNTIFS(Orders!E:E,A22,Orders!F:F,"Cupcakes")</f>
        <v/>
      </c>
      <c r="G22" t="n">
        <v>1</v>
      </c>
      <c r="H22" s="5">
        <f>COUNTIFS(Orders!E:E,A22,Orders!F:F,"Bomboloni")</f>
        <v/>
      </c>
      <c r="I22" t="inlineStr">
        <is>
          <t>N</t>
        </is>
      </c>
      <c r="K22" s="5">
        <f>IFERROR((D22/C22+F22/E22+H22/G22)/3,0)</f>
        <v/>
      </c>
    </row>
    <row r="23">
      <c r="A23" s="8" t="n">
        <v>46187</v>
      </c>
      <c r="B23" s="5">
        <f>TEXT(A23,"ddd")</f>
        <v/>
      </c>
      <c r="C23" t="n">
        <v>5</v>
      </c>
      <c r="D23" s="5">
        <f>COUNTIFS(Orders!E:E,A23,Orders!F:F,"Cake")</f>
        <v/>
      </c>
      <c r="E23" t="n">
        <v>4</v>
      </c>
      <c r="F23" s="5">
        <f>COUNTIFS(Orders!E:E,A23,Orders!F:F,"Cupcakes")</f>
        <v/>
      </c>
      <c r="G23" t="n">
        <v>1</v>
      </c>
      <c r="H23" s="5">
        <f>COUNTIFS(Orders!E:E,A23,Orders!F:F,"Bomboloni")</f>
        <v/>
      </c>
      <c r="I23" t="inlineStr">
        <is>
          <t>N</t>
        </is>
      </c>
      <c r="K23" s="5">
        <f>IFERROR((D23/C23+F23/E23+H23/G23)/3,0)</f>
        <v/>
      </c>
    </row>
    <row r="24">
      <c r="A24" s="8" t="n">
        <v>46188</v>
      </c>
      <c r="B24" s="5">
        <f>TEXT(A24,"ddd")</f>
        <v/>
      </c>
      <c r="C24" t="n">
        <v>3</v>
      </c>
      <c r="D24" s="5">
        <f>COUNTIFS(Orders!E:E,A24,Orders!F:F,"Cake")</f>
        <v/>
      </c>
      <c r="E24" t="n">
        <v>4</v>
      </c>
      <c r="F24" s="5">
        <f>COUNTIFS(Orders!E:E,A24,Orders!F:F,"Cupcakes")</f>
        <v/>
      </c>
      <c r="G24" t="n">
        <v>1</v>
      </c>
      <c r="H24" s="5">
        <f>COUNTIFS(Orders!E:E,A24,Orders!F:F,"Bomboloni")</f>
        <v/>
      </c>
      <c r="I24" t="inlineStr">
        <is>
          <t>N</t>
        </is>
      </c>
      <c r="K24" s="5">
        <f>IFERROR((D24/C24+F24/E24+H24/G24)/3,0)</f>
        <v/>
      </c>
    </row>
    <row r="25">
      <c r="A25" s="8" t="n">
        <v>46189</v>
      </c>
      <c r="B25" s="5">
        <f>TEXT(A25,"ddd")</f>
        <v/>
      </c>
      <c r="C25" t="n">
        <v>3</v>
      </c>
      <c r="D25" s="5">
        <f>COUNTIFS(Orders!E:E,A25,Orders!F:F,"Cake")</f>
        <v/>
      </c>
      <c r="E25" t="n">
        <v>4</v>
      </c>
      <c r="F25" s="5">
        <f>COUNTIFS(Orders!E:E,A25,Orders!F:F,"Cupcakes")</f>
        <v/>
      </c>
      <c r="G25" t="n">
        <v>1</v>
      </c>
      <c r="H25" s="5">
        <f>COUNTIFS(Orders!E:E,A25,Orders!F:F,"Bomboloni")</f>
        <v/>
      </c>
      <c r="I25" t="inlineStr">
        <is>
          <t>N</t>
        </is>
      </c>
      <c r="K25" s="5">
        <f>IFERROR((D25/C25+F25/E25+H25/G25)/3,0)</f>
        <v/>
      </c>
    </row>
    <row r="26">
      <c r="A26" s="8" t="n">
        <v>46190</v>
      </c>
      <c r="B26" s="5">
        <f>TEXT(A26,"ddd")</f>
        <v/>
      </c>
      <c r="C26" t="n">
        <v>3</v>
      </c>
      <c r="D26" s="5">
        <f>COUNTIFS(Orders!E:E,A26,Orders!F:F,"Cake")</f>
        <v/>
      </c>
      <c r="E26" t="n">
        <v>4</v>
      </c>
      <c r="F26" s="5">
        <f>COUNTIFS(Orders!E:E,A26,Orders!F:F,"Cupcakes")</f>
        <v/>
      </c>
      <c r="G26" t="n">
        <v>1</v>
      </c>
      <c r="H26" s="5">
        <f>COUNTIFS(Orders!E:E,A26,Orders!F:F,"Bomboloni")</f>
        <v/>
      </c>
      <c r="I26" t="inlineStr">
        <is>
          <t>N</t>
        </is>
      </c>
      <c r="K26" s="5">
        <f>IFERROR((D26/C26+F26/E26+H26/G26)/3,0)</f>
        <v/>
      </c>
    </row>
    <row r="27">
      <c r="A27" s="8" t="n">
        <v>46191</v>
      </c>
      <c r="B27" s="5">
        <f>TEXT(A27,"ddd")</f>
        <v/>
      </c>
      <c r="C27" t="n">
        <v>3</v>
      </c>
      <c r="D27" s="5">
        <f>COUNTIFS(Orders!E:E,A27,Orders!F:F,"Cake")</f>
        <v/>
      </c>
      <c r="E27" t="n">
        <v>4</v>
      </c>
      <c r="F27" s="5">
        <f>COUNTIFS(Orders!E:E,A27,Orders!F:F,"Cupcakes")</f>
        <v/>
      </c>
      <c r="G27" t="n">
        <v>1</v>
      </c>
      <c r="H27" s="5">
        <f>COUNTIFS(Orders!E:E,A27,Orders!F:F,"Bomboloni")</f>
        <v/>
      </c>
      <c r="I27" t="inlineStr">
        <is>
          <t>N</t>
        </is>
      </c>
      <c r="K27" s="5">
        <f>IFERROR((D27/C27+F27/E27+H27/G27)/3,0)</f>
        <v/>
      </c>
    </row>
    <row r="28">
      <c r="A28" s="8" t="n">
        <v>46192</v>
      </c>
      <c r="B28" s="5">
        <f>TEXT(A28,"ddd")</f>
        <v/>
      </c>
      <c r="C28" t="n">
        <v>3</v>
      </c>
      <c r="D28" s="5">
        <f>COUNTIFS(Orders!E:E,A28,Orders!F:F,"Cake")</f>
        <v/>
      </c>
      <c r="E28" t="n">
        <v>4</v>
      </c>
      <c r="F28" s="5">
        <f>COUNTIFS(Orders!E:E,A28,Orders!F:F,"Cupcakes")</f>
        <v/>
      </c>
      <c r="G28" t="n">
        <v>1</v>
      </c>
      <c r="H28" s="5">
        <f>COUNTIFS(Orders!E:E,A28,Orders!F:F,"Bomboloni")</f>
        <v/>
      </c>
      <c r="I28" t="inlineStr">
        <is>
          <t>N</t>
        </is>
      </c>
      <c r="K28" s="5">
        <f>IFERROR((D28/C28+F28/E28+H28/G28)/3,0)</f>
        <v/>
      </c>
    </row>
    <row r="29">
      <c r="A29" s="8" t="n">
        <v>46193</v>
      </c>
      <c r="B29" s="5">
        <f>TEXT(A29,"ddd")</f>
        <v/>
      </c>
      <c r="C29" t="n">
        <v>5</v>
      </c>
      <c r="D29" s="5">
        <f>COUNTIFS(Orders!E:E,A29,Orders!F:F,"Cake")</f>
        <v/>
      </c>
      <c r="E29" t="n">
        <v>4</v>
      </c>
      <c r="F29" s="5">
        <f>COUNTIFS(Orders!E:E,A29,Orders!F:F,"Cupcakes")</f>
        <v/>
      </c>
      <c r="G29" t="n">
        <v>1</v>
      </c>
      <c r="H29" s="5">
        <f>COUNTIFS(Orders!E:E,A29,Orders!F:F,"Bomboloni")</f>
        <v/>
      </c>
      <c r="I29" t="inlineStr">
        <is>
          <t>N</t>
        </is>
      </c>
      <c r="K29" s="5">
        <f>IFERROR((D29/C29+F29/E29+H29/G29)/3,0)</f>
        <v/>
      </c>
    </row>
    <row r="30">
      <c r="A30" s="8" t="n">
        <v>46194</v>
      </c>
      <c r="B30" s="5">
        <f>TEXT(A30,"ddd")</f>
        <v/>
      </c>
      <c r="C30" t="n">
        <v>5</v>
      </c>
      <c r="D30" s="5">
        <f>COUNTIFS(Orders!E:E,A30,Orders!F:F,"Cake")</f>
        <v/>
      </c>
      <c r="E30" t="n">
        <v>4</v>
      </c>
      <c r="F30" s="5">
        <f>COUNTIFS(Orders!E:E,A30,Orders!F:F,"Cupcakes")</f>
        <v/>
      </c>
      <c r="G30" t="n">
        <v>1</v>
      </c>
      <c r="H30" s="5">
        <f>COUNTIFS(Orders!E:E,A30,Orders!F:F,"Bomboloni")</f>
        <v/>
      </c>
      <c r="I30" t="inlineStr">
        <is>
          <t>N</t>
        </is>
      </c>
      <c r="K30" s="5">
        <f>IFERROR((D30/C30+F30/E30+H30/G30)/3,0)</f>
        <v/>
      </c>
    </row>
    <row r="31">
      <c r="A31" s="8" t="n">
        <v>46195</v>
      </c>
      <c r="B31" s="5">
        <f>TEXT(A31,"ddd")</f>
        <v/>
      </c>
      <c r="C31" t="n">
        <v>3</v>
      </c>
      <c r="D31" s="5">
        <f>COUNTIFS(Orders!E:E,A31,Orders!F:F,"Cake")</f>
        <v/>
      </c>
      <c r="E31" t="n">
        <v>4</v>
      </c>
      <c r="F31" s="5">
        <f>COUNTIFS(Orders!E:E,A31,Orders!F:F,"Cupcakes")</f>
        <v/>
      </c>
      <c r="G31" t="n">
        <v>1</v>
      </c>
      <c r="H31" s="5">
        <f>COUNTIFS(Orders!E:E,A31,Orders!F:F,"Bomboloni")</f>
        <v/>
      </c>
      <c r="I31" t="inlineStr">
        <is>
          <t>N</t>
        </is>
      </c>
      <c r="K31" s="5">
        <f>IFERROR((D31/C31+F31/E31+H31/G31)/3,0)</f>
        <v/>
      </c>
    </row>
    <row r="32">
      <c r="A32" s="8" t="n">
        <v>46196</v>
      </c>
      <c r="B32" s="5">
        <f>TEXT(A32,"ddd")</f>
        <v/>
      </c>
      <c r="C32" t="n">
        <v>3</v>
      </c>
      <c r="D32" s="5">
        <f>COUNTIFS(Orders!E:E,A32,Orders!F:F,"Cake")</f>
        <v/>
      </c>
      <c r="E32" t="n">
        <v>4</v>
      </c>
      <c r="F32" s="5">
        <f>COUNTIFS(Orders!E:E,A32,Orders!F:F,"Cupcakes")</f>
        <v/>
      </c>
      <c r="G32" t="n">
        <v>1</v>
      </c>
      <c r="H32" s="5">
        <f>COUNTIFS(Orders!E:E,A32,Orders!F:F,"Bomboloni")</f>
        <v/>
      </c>
      <c r="I32" t="inlineStr">
        <is>
          <t>N</t>
        </is>
      </c>
      <c r="K32" s="5">
        <f>IFERROR((D32/C32+F32/E32+H32/G32)/3,0)</f>
        <v/>
      </c>
    </row>
    <row r="33">
      <c r="A33" s="8" t="n">
        <v>46197</v>
      </c>
      <c r="B33" s="5">
        <f>TEXT(A33,"ddd")</f>
        <v/>
      </c>
      <c r="C33" t="n">
        <v>3</v>
      </c>
      <c r="D33" s="5">
        <f>COUNTIFS(Orders!E:E,A33,Orders!F:F,"Cake")</f>
        <v/>
      </c>
      <c r="E33" t="n">
        <v>4</v>
      </c>
      <c r="F33" s="5">
        <f>COUNTIFS(Orders!E:E,A33,Orders!F:F,"Cupcakes")</f>
        <v/>
      </c>
      <c r="G33" t="n">
        <v>1</v>
      </c>
      <c r="H33" s="5">
        <f>COUNTIFS(Orders!E:E,A33,Orders!F:F,"Bomboloni")</f>
        <v/>
      </c>
      <c r="I33" t="inlineStr">
        <is>
          <t>N</t>
        </is>
      </c>
      <c r="K33" s="5">
        <f>IFERROR((D33/C33+F33/E33+H33/G33)/3,0)</f>
        <v/>
      </c>
    </row>
    <row r="34">
      <c r="A34" s="8" t="n">
        <v>46198</v>
      </c>
      <c r="B34" s="5">
        <f>TEXT(A34,"ddd")</f>
        <v/>
      </c>
      <c r="C34" t="n">
        <v>3</v>
      </c>
      <c r="D34" s="5">
        <f>COUNTIFS(Orders!E:E,A34,Orders!F:F,"Cake")</f>
        <v/>
      </c>
      <c r="E34" t="n">
        <v>4</v>
      </c>
      <c r="F34" s="5">
        <f>COUNTIFS(Orders!E:E,A34,Orders!F:F,"Cupcakes")</f>
        <v/>
      </c>
      <c r="G34" t="n">
        <v>1</v>
      </c>
      <c r="H34" s="5">
        <f>COUNTIFS(Orders!E:E,A34,Orders!F:F,"Bomboloni")</f>
        <v/>
      </c>
      <c r="I34" t="inlineStr">
        <is>
          <t>N</t>
        </is>
      </c>
      <c r="K34" s="5">
        <f>IFERROR((D34/C34+F34/E34+H34/G34)/3,0)</f>
        <v/>
      </c>
    </row>
    <row r="35">
      <c r="A35" s="8" t="n">
        <v>46199</v>
      </c>
      <c r="B35" s="5">
        <f>TEXT(A35,"ddd")</f>
        <v/>
      </c>
      <c r="C35" t="n">
        <v>3</v>
      </c>
      <c r="D35" s="5">
        <f>COUNTIFS(Orders!E:E,A35,Orders!F:F,"Cake")</f>
        <v/>
      </c>
      <c r="E35" t="n">
        <v>4</v>
      </c>
      <c r="F35" s="5">
        <f>COUNTIFS(Orders!E:E,A35,Orders!F:F,"Cupcakes")</f>
        <v/>
      </c>
      <c r="G35" t="n">
        <v>1</v>
      </c>
      <c r="H35" s="5">
        <f>COUNTIFS(Orders!E:E,A35,Orders!F:F,"Bomboloni")</f>
        <v/>
      </c>
      <c r="I35" t="inlineStr">
        <is>
          <t>N</t>
        </is>
      </c>
      <c r="K35" s="5">
        <f>IFERROR((D35/C35+F35/E35+H35/G35)/3,0)</f>
        <v/>
      </c>
    </row>
    <row r="36">
      <c r="A36" s="8" t="n">
        <v>46200</v>
      </c>
      <c r="B36" s="5">
        <f>TEXT(A36,"ddd")</f>
        <v/>
      </c>
      <c r="C36" t="n">
        <v>5</v>
      </c>
      <c r="D36" s="5">
        <f>COUNTIFS(Orders!E:E,A36,Orders!F:F,"Cake")</f>
        <v/>
      </c>
      <c r="E36" t="n">
        <v>4</v>
      </c>
      <c r="F36" s="5">
        <f>COUNTIFS(Orders!E:E,A36,Orders!F:F,"Cupcakes")</f>
        <v/>
      </c>
      <c r="G36" t="n">
        <v>1</v>
      </c>
      <c r="H36" s="5">
        <f>COUNTIFS(Orders!E:E,A36,Orders!F:F,"Bomboloni")</f>
        <v/>
      </c>
      <c r="I36" t="inlineStr">
        <is>
          <t>N</t>
        </is>
      </c>
      <c r="K36" s="5">
        <f>IFERROR((D36/C36+F36/E36+H36/G36)/3,0)</f>
        <v/>
      </c>
    </row>
    <row r="37">
      <c r="A37" s="8" t="n">
        <v>46201</v>
      </c>
      <c r="B37" s="5">
        <f>TEXT(A37,"ddd")</f>
        <v/>
      </c>
      <c r="C37" t="n">
        <v>5</v>
      </c>
      <c r="D37" s="5">
        <f>COUNTIFS(Orders!E:E,A37,Orders!F:F,"Cake")</f>
        <v/>
      </c>
      <c r="E37" t="n">
        <v>4</v>
      </c>
      <c r="F37" s="5">
        <f>COUNTIFS(Orders!E:E,A37,Orders!F:F,"Cupcakes")</f>
        <v/>
      </c>
      <c r="G37" t="n">
        <v>1</v>
      </c>
      <c r="H37" s="5">
        <f>COUNTIFS(Orders!E:E,A37,Orders!F:F,"Bomboloni")</f>
        <v/>
      </c>
      <c r="I37" t="inlineStr">
        <is>
          <t>N</t>
        </is>
      </c>
      <c r="K37" s="5">
        <f>IFERROR((D37/C37+F37/E37+H37/G37)/3,0)</f>
        <v/>
      </c>
    </row>
    <row r="38">
      <c r="A38" s="8" t="n">
        <v>46202</v>
      </c>
      <c r="B38" s="5">
        <f>TEXT(A38,"ddd")</f>
        <v/>
      </c>
      <c r="C38" t="n">
        <v>3</v>
      </c>
      <c r="D38" s="5">
        <f>COUNTIFS(Orders!E:E,A38,Orders!F:F,"Cake")</f>
        <v/>
      </c>
      <c r="E38" t="n">
        <v>4</v>
      </c>
      <c r="F38" s="5">
        <f>COUNTIFS(Orders!E:E,A38,Orders!F:F,"Cupcakes")</f>
        <v/>
      </c>
      <c r="G38" t="n">
        <v>1</v>
      </c>
      <c r="H38" s="5">
        <f>COUNTIFS(Orders!E:E,A38,Orders!F:F,"Bomboloni")</f>
        <v/>
      </c>
      <c r="I38" t="inlineStr">
        <is>
          <t>N</t>
        </is>
      </c>
      <c r="K38" s="5">
        <f>IFERROR((D38/C38+F38/E38+H38/G38)/3,0)</f>
        <v/>
      </c>
    </row>
    <row r="39">
      <c r="A39" s="8" t="n">
        <v>46203</v>
      </c>
      <c r="B39" s="5">
        <f>TEXT(A39,"ddd")</f>
        <v/>
      </c>
      <c r="C39" t="n">
        <v>3</v>
      </c>
      <c r="D39" s="5">
        <f>COUNTIFS(Orders!E:E,A39,Orders!F:F,"Cake")</f>
        <v/>
      </c>
      <c r="E39" t="n">
        <v>4</v>
      </c>
      <c r="F39" s="5">
        <f>COUNTIFS(Orders!E:E,A39,Orders!F:F,"Cupcakes")</f>
        <v/>
      </c>
      <c r="G39" t="n">
        <v>1</v>
      </c>
      <c r="H39" s="5">
        <f>COUNTIFS(Orders!E:E,A39,Orders!F:F,"Bomboloni")</f>
        <v/>
      </c>
      <c r="I39" t="inlineStr">
        <is>
          <t>N</t>
        </is>
      </c>
      <c r="K39" s="5">
        <f>IFERROR((D39/C39+F39/E39+H39/G39)/3,0)</f>
        <v/>
      </c>
    </row>
    <row r="40">
      <c r="A40" s="8" t="n">
        <v>46204</v>
      </c>
      <c r="B40" s="5">
        <f>TEXT(A40,"ddd")</f>
        <v/>
      </c>
      <c r="C40" t="n">
        <v>3</v>
      </c>
      <c r="D40" s="5">
        <f>COUNTIFS(Orders!E:E,A40,Orders!F:F,"Cake")</f>
        <v/>
      </c>
      <c r="E40" t="n">
        <v>4</v>
      </c>
      <c r="F40" s="5">
        <f>COUNTIFS(Orders!E:E,A40,Orders!F:F,"Cupcakes")</f>
        <v/>
      </c>
      <c r="G40" t="n">
        <v>1</v>
      </c>
      <c r="H40" s="5">
        <f>COUNTIFS(Orders!E:E,A40,Orders!F:F,"Bomboloni")</f>
        <v/>
      </c>
      <c r="I40" t="inlineStr">
        <is>
          <t>N</t>
        </is>
      </c>
      <c r="K40" s="5">
        <f>IFERROR((D40/C40+F40/E40+H40/G40)/3,0)</f>
        <v/>
      </c>
    </row>
    <row r="41">
      <c r="A41" s="8" t="n">
        <v>46205</v>
      </c>
      <c r="B41" s="5">
        <f>TEXT(A41,"ddd")</f>
        <v/>
      </c>
      <c r="C41" t="n">
        <v>3</v>
      </c>
      <c r="D41" s="5">
        <f>COUNTIFS(Orders!E:E,A41,Orders!F:F,"Cake")</f>
        <v/>
      </c>
      <c r="E41" t="n">
        <v>4</v>
      </c>
      <c r="F41" s="5">
        <f>COUNTIFS(Orders!E:E,A41,Orders!F:F,"Cupcakes")</f>
        <v/>
      </c>
      <c r="G41" t="n">
        <v>1</v>
      </c>
      <c r="H41" s="5">
        <f>COUNTIFS(Orders!E:E,A41,Orders!F:F,"Bomboloni")</f>
        <v/>
      </c>
      <c r="I41" t="inlineStr">
        <is>
          <t>N</t>
        </is>
      </c>
      <c r="K41" s="5">
        <f>IFERROR((D41/C41+F41/E41+H41/G41)/3,0)</f>
        <v/>
      </c>
    </row>
    <row r="42">
      <c r="A42" s="8" t="n">
        <v>46206</v>
      </c>
      <c r="B42" s="5">
        <f>TEXT(A42,"ddd")</f>
        <v/>
      </c>
      <c r="C42" t="n">
        <v>3</v>
      </c>
      <c r="D42" s="5">
        <f>COUNTIFS(Orders!E:E,A42,Orders!F:F,"Cake")</f>
        <v/>
      </c>
      <c r="E42" t="n">
        <v>4</v>
      </c>
      <c r="F42" s="5">
        <f>COUNTIFS(Orders!E:E,A42,Orders!F:F,"Cupcakes")</f>
        <v/>
      </c>
      <c r="G42" t="n">
        <v>1</v>
      </c>
      <c r="H42" s="5">
        <f>COUNTIFS(Orders!E:E,A42,Orders!F:F,"Bomboloni")</f>
        <v/>
      </c>
      <c r="I42" t="inlineStr">
        <is>
          <t>N</t>
        </is>
      </c>
      <c r="K42" s="5">
        <f>IFERROR((D42/C42+F42/E42+H42/G42)/3,0)</f>
        <v/>
      </c>
    </row>
    <row r="43">
      <c r="A43" s="8" t="n">
        <v>46207</v>
      </c>
      <c r="B43" s="5">
        <f>TEXT(A43,"ddd")</f>
        <v/>
      </c>
      <c r="C43" t="n">
        <v>5</v>
      </c>
      <c r="D43" s="5">
        <f>COUNTIFS(Orders!E:E,A43,Orders!F:F,"Cake")</f>
        <v/>
      </c>
      <c r="E43" t="n">
        <v>4</v>
      </c>
      <c r="F43" s="5">
        <f>COUNTIFS(Orders!E:E,A43,Orders!F:F,"Cupcakes")</f>
        <v/>
      </c>
      <c r="G43" t="n">
        <v>1</v>
      </c>
      <c r="H43" s="5">
        <f>COUNTIFS(Orders!E:E,A43,Orders!F:F,"Bomboloni")</f>
        <v/>
      </c>
      <c r="I43" t="inlineStr">
        <is>
          <t>N</t>
        </is>
      </c>
      <c r="K43" s="5">
        <f>IFERROR((D43/C43+F43/E43+H43/G43)/3,0)</f>
        <v/>
      </c>
    </row>
    <row r="44">
      <c r="A44" s="8" t="n">
        <v>46208</v>
      </c>
      <c r="B44" s="5">
        <f>TEXT(A44,"ddd")</f>
        <v/>
      </c>
      <c r="C44" t="n">
        <v>5</v>
      </c>
      <c r="D44" s="5">
        <f>COUNTIFS(Orders!E:E,A44,Orders!F:F,"Cake")</f>
        <v/>
      </c>
      <c r="E44" t="n">
        <v>4</v>
      </c>
      <c r="F44" s="5">
        <f>COUNTIFS(Orders!E:E,A44,Orders!F:F,"Cupcakes")</f>
        <v/>
      </c>
      <c r="G44" t="n">
        <v>1</v>
      </c>
      <c r="H44" s="5">
        <f>COUNTIFS(Orders!E:E,A44,Orders!F:F,"Bomboloni")</f>
        <v/>
      </c>
      <c r="I44" t="inlineStr">
        <is>
          <t>N</t>
        </is>
      </c>
      <c r="K44" s="5">
        <f>IFERROR((D44/C44+F44/E44+H44/G44)/3,0)</f>
        <v/>
      </c>
    </row>
    <row r="45">
      <c r="A45" s="8" t="n">
        <v>46209</v>
      </c>
      <c r="B45" s="5">
        <f>TEXT(A45,"ddd")</f>
        <v/>
      </c>
      <c r="C45" t="n">
        <v>3</v>
      </c>
      <c r="D45" s="5">
        <f>COUNTIFS(Orders!E:E,A45,Orders!F:F,"Cake")</f>
        <v/>
      </c>
      <c r="E45" t="n">
        <v>4</v>
      </c>
      <c r="F45" s="5">
        <f>COUNTIFS(Orders!E:E,A45,Orders!F:F,"Cupcakes")</f>
        <v/>
      </c>
      <c r="G45" t="n">
        <v>1</v>
      </c>
      <c r="H45" s="5">
        <f>COUNTIFS(Orders!E:E,A45,Orders!F:F,"Bomboloni")</f>
        <v/>
      </c>
      <c r="I45" t="inlineStr">
        <is>
          <t>N</t>
        </is>
      </c>
      <c r="K45" s="5">
        <f>IFERROR((D45/C45+F45/E45+H45/G45)/3,0)</f>
        <v/>
      </c>
    </row>
    <row r="46">
      <c r="A46" s="8" t="n">
        <v>46210</v>
      </c>
      <c r="B46" s="5">
        <f>TEXT(A46,"ddd")</f>
        <v/>
      </c>
      <c r="C46" t="n">
        <v>3</v>
      </c>
      <c r="D46" s="5">
        <f>COUNTIFS(Orders!E:E,A46,Orders!F:F,"Cake")</f>
        <v/>
      </c>
      <c r="E46" t="n">
        <v>4</v>
      </c>
      <c r="F46" s="5">
        <f>COUNTIFS(Orders!E:E,A46,Orders!F:F,"Cupcakes")</f>
        <v/>
      </c>
      <c r="G46" t="n">
        <v>1</v>
      </c>
      <c r="H46" s="5">
        <f>COUNTIFS(Orders!E:E,A46,Orders!F:F,"Bomboloni")</f>
        <v/>
      </c>
      <c r="I46" t="inlineStr">
        <is>
          <t>N</t>
        </is>
      </c>
      <c r="K46" s="5">
        <f>IFERROR((D46/C46+F46/E46+H46/G46)/3,0)</f>
        <v/>
      </c>
    </row>
    <row r="47">
      <c r="A47" s="8" t="n">
        <v>46211</v>
      </c>
      <c r="B47" s="5">
        <f>TEXT(A47,"ddd")</f>
        <v/>
      </c>
      <c r="C47" t="n">
        <v>3</v>
      </c>
      <c r="D47" s="5">
        <f>COUNTIFS(Orders!E:E,A47,Orders!F:F,"Cake")</f>
        <v/>
      </c>
      <c r="E47" t="n">
        <v>4</v>
      </c>
      <c r="F47" s="5">
        <f>COUNTIFS(Orders!E:E,A47,Orders!F:F,"Cupcakes")</f>
        <v/>
      </c>
      <c r="G47" t="n">
        <v>1</v>
      </c>
      <c r="H47" s="5">
        <f>COUNTIFS(Orders!E:E,A47,Orders!F:F,"Bomboloni")</f>
        <v/>
      </c>
      <c r="I47" t="inlineStr">
        <is>
          <t>N</t>
        </is>
      </c>
      <c r="K47" s="5">
        <f>IFERROR((D47/C47+F47/E47+H47/G47)/3,0)</f>
        <v/>
      </c>
    </row>
    <row r="48">
      <c r="A48" s="8" t="n">
        <v>46212</v>
      </c>
      <c r="B48" s="5">
        <f>TEXT(A48,"ddd")</f>
        <v/>
      </c>
      <c r="C48" t="n">
        <v>3</v>
      </c>
      <c r="D48" s="5">
        <f>COUNTIFS(Orders!E:E,A48,Orders!F:F,"Cake")</f>
        <v/>
      </c>
      <c r="E48" t="n">
        <v>4</v>
      </c>
      <c r="F48" s="5">
        <f>COUNTIFS(Orders!E:E,A48,Orders!F:F,"Cupcakes")</f>
        <v/>
      </c>
      <c r="G48" t="n">
        <v>1</v>
      </c>
      <c r="H48" s="5">
        <f>COUNTIFS(Orders!E:E,A48,Orders!F:F,"Bomboloni")</f>
        <v/>
      </c>
      <c r="I48" t="inlineStr">
        <is>
          <t>N</t>
        </is>
      </c>
      <c r="K48" s="5">
        <f>IFERROR((D48/C48+F48/E48+H48/G48)/3,0)</f>
        <v/>
      </c>
    </row>
    <row r="49">
      <c r="A49" s="8" t="n">
        <v>46213</v>
      </c>
      <c r="B49" s="5">
        <f>TEXT(A49,"ddd")</f>
        <v/>
      </c>
      <c r="C49" t="n">
        <v>3</v>
      </c>
      <c r="D49" s="5">
        <f>COUNTIFS(Orders!E:E,A49,Orders!F:F,"Cake")</f>
        <v/>
      </c>
      <c r="E49" t="n">
        <v>4</v>
      </c>
      <c r="F49" s="5">
        <f>COUNTIFS(Orders!E:E,A49,Orders!F:F,"Cupcakes")</f>
        <v/>
      </c>
      <c r="G49" t="n">
        <v>1</v>
      </c>
      <c r="H49" s="5">
        <f>COUNTIFS(Orders!E:E,A49,Orders!F:F,"Bomboloni")</f>
        <v/>
      </c>
      <c r="I49" t="inlineStr">
        <is>
          <t>N</t>
        </is>
      </c>
      <c r="K49" s="5">
        <f>IFERROR((D49/C49+F49/E49+H49/G49)/3,0)</f>
        <v/>
      </c>
    </row>
    <row r="50">
      <c r="A50" s="8" t="n">
        <v>46214</v>
      </c>
      <c r="B50" s="5">
        <f>TEXT(A50,"ddd")</f>
        <v/>
      </c>
      <c r="C50" t="n">
        <v>5</v>
      </c>
      <c r="D50" s="5">
        <f>COUNTIFS(Orders!E:E,A50,Orders!F:F,"Cake")</f>
        <v/>
      </c>
      <c r="E50" t="n">
        <v>4</v>
      </c>
      <c r="F50" s="5">
        <f>COUNTIFS(Orders!E:E,A50,Orders!F:F,"Cupcakes")</f>
        <v/>
      </c>
      <c r="G50" t="n">
        <v>1</v>
      </c>
      <c r="H50" s="5">
        <f>COUNTIFS(Orders!E:E,A50,Orders!F:F,"Bomboloni")</f>
        <v/>
      </c>
      <c r="I50" t="inlineStr">
        <is>
          <t>N</t>
        </is>
      </c>
      <c r="K50" s="5">
        <f>IFERROR((D50/C50+F50/E50+H50/G50)/3,0)</f>
        <v/>
      </c>
    </row>
    <row r="51">
      <c r="A51" s="8" t="n">
        <v>46215</v>
      </c>
      <c r="B51" s="5">
        <f>TEXT(A51,"ddd")</f>
        <v/>
      </c>
      <c r="C51" t="n">
        <v>5</v>
      </c>
      <c r="D51" s="5">
        <f>COUNTIFS(Orders!E:E,A51,Orders!F:F,"Cake")</f>
        <v/>
      </c>
      <c r="E51" t="n">
        <v>4</v>
      </c>
      <c r="F51" s="5">
        <f>COUNTIFS(Orders!E:E,A51,Orders!F:F,"Cupcakes")</f>
        <v/>
      </c>
      <c r="G51" t="n">
        <v>1</v>
      </c>
      <c r="H51" s="5">
        <f>COUNTIFS(Orders!E:E,A51,Orders!F:F,"Bomboloni")</f>
        <v/>
      </c>
      <c r="I51" t="inlineStr">
        <is>
          <t>N</t>
        </is>
      </c>
      <c r="K51" s="5">
        <f>IFERROR((D51/C51+F51/E51+H51/G51)/3,0)</f>
        <v/>
      </c>
    </row>
    <row r="52">
      <c r="A52" s="8" t="n">
        <v>46216</v>
      </c>
      <c r="B52" s="5">
        <f>TEXT(A52,"ddd")</f>
        <v/>
      </c>
      <c r="C52" t="n">
        <v>3</v>
      </c>
      <c r="D52" s="5">
        <f>COUNTIFS(Orders!E:E,A52,Orders!F:F,"Cake")</f>
        <v/>
      </c>
      <c r="E52" t="n">
        <v>4</v>
      </c>
      <c r="F52" s="5">
        <f>COUNTIFS(Orders!E:E,A52,Orders!F:F,"Cupcakes")</f>
        <v/>
      </c>
      <c r="G52" t="n">
        <v>1</v>
      </c>
      <c r="H52" s="5">
        <f>COUNTIFS(Orders!E:E,A52,Orders!F:F,"Bomboloni")</f>
        <v/>
      </c>
      <c r="I52" t="inlineStr">
        <is>
          <t>N</t>
        </is>
      </c>
      <c r="K52" s="5">
        <f>IFERROR((D52/C52+F52/E52+H52/G52)/3,0)</f>
        <v/>
      </c>
    </row>
    <row r="53">
      <c r="A53" s="8" t="n">
        <v>46217</v>
      </c>
      <c r="B53" s="5">
        <f>TEXT(A53,"ddd")</f>
        <v/>
      </c>
      <c r="C53" t="n">
        <v>3</v>
      </c>
      <c r="D53" s="5">
        <f>COUNTIFS(Orders!E:E,A53,Orders!F:F,"Cake")</f>
        <v/>
      </c>
      <c r="E53" t="n">
        <v>4</v>
      </c>
      <c r="F53" s="5">
        <f>COUNTIFS(Orders!E:E,A53,Orders!F:F,"Cupcakes")</f>
        <v/>
      </c>
      <c r="G53" t="n">
        <v>1</v>
      </c>
      <c r="H53" s="5">
        <f>COUNTIFS(Orders!E:E,A53,Orders!F:F,"Bomboloni")</f>
        <v/>
      </c>
      <c r="I53" t="inlineStr">
        <is>
          <t>N</t>
        </is>
      </c>
      <c r="K53" s="5">
        <f>IFERROR((D53/C53+F53/E53+H53/G53)/3,0)</f>
        <v/>
      </c>
    </row>
    <row r="54">
      <c r="A54" s="8" t="n">
        <v>46218</v>
      </c>
      <c r="B54" s="5">
        <f>TEXT(A54,"ddd")</f>
        <v/>
      </c>
      <c r="C54" t="n">
        <v>3</v>
      </c>
      <c r="D54" s="5">
        <f>COUNTIFS(Orders!E:E,A54,Orders!F:F,"Cake")</f>
        <v/>
      </c>
      <c r="E54" t="n">
        <v>4</v>
      </c>
      <c r="F54" s="5">
        <f>COUNTIFS(Orders!E:E,A54,Orders!F:F,"Cupcakes")</f>
        <v/>
      </c>
      <c r="G54" t="n">
        <v>1</v>
      </c>
      <c r="H54" s="5">
        <f>COUNTIFS(Orders!E:E,A54,Orders!F:F,"Bomboloni")</f>
        <v/>
      </c>
      <c r="I54" t="inlineStr">
        <is>
          <t>N</t>
        </is>
      </c>
      <c r="K54" s="5">
        <f>IFERROR((D54/C54+F54/E54+H54/G54)/3,0)</f>
        <v/>
      </c>
    </row>
    <row r="55">
      <c r="A55" s="8" t="n">
        <v>46219</v>
      </c>
      <c r="B55" s="5">
        <f>TEXT(A55,"ddd")</f>
        <v/>
      </c>
      <c r="C55" t="n">
        <v>3</v>
      </c>
      <c r="D55" s="5">
        <f>COUNTIFS(Orders!E:E,A55,Orders!F:F,"Cake")</f>
        <v/>
      </c>
      <c r="E55" t="n">
        <v>4</v>
      </c>
      <c r="F55" s="5">
        <f>COUNTIFS(Orders!E:E,A55,Orders!F:F,"Cupcakes")</f>
        <v/>
      </c>
      <c r="G55" t="n">
        <v>1</v>
      </c>
      <c r="H55" s="5">
        <f>COUNTIFS(Orders!E:E,A55,Orders!F:F,"Bomboloni")</f>
        <v/>
      </c>
      <c r="I55" t="inlineStr">
        <is>
          <t>N</t>
        </is>
      </c>
      <c r="K55" s="5">
        <f>IFERROR((D55/C55+F55/E55+H55/G55)/3,0)</f>
        <v/>
      </c>
    </row>
    <row r="56">
      <c r="A56" s="8" t="n">
        <v>46220</v>
      </c>
      <c r="B56" s="5">
        <f>TEXT(A56,"ddd")</f>
        <v/>
      </c>
      <c r="C56" t="n">
        <v>3</v>
      </c>
      <c r="D56" s="5">
        <f>COUNTIFS(Orders!E:E,A56,Orders!F:F,"Cake")</f>
        <v/>
      </c>
      <c r="E56" t="n">
        <v>4</v>
      </c>
      <c r="F56" s="5">
        <f>COUNTIFS(Orders!E:E,A56,Orders!F:F,"Cupcakes")</f>
        <v/>
      </c>
      <c r="G56" t="n">
        <v>1</v>
      </c>
      <c r="H56" s="5">
        <f>COUNTIFS(Orders!E:E,A56,Orders!F:F,"Bomboloni")</f>
        <v/>
      </c>
      <c r="I56" t="inlineStr">
        <is>
          <t>N</t>
        </is>
      </c>
      <c r="K56" s="5">
        <f>IFERROR((D56/C56+F56/E56+H56/G56)/3,0)</f>
        <v/>
      </c>
    </row>
    <row r="57">
      <c r="A57" s="8" t="n">
        <v>46221</v>
      </c>
      <c r="B57" s="5">
        <f>TEXT(A57,"ddd")</f>
        <v/>
      </c>
      <c r="C57" t="n">
        <v>5</v>
      </c>
      <c r="D57" s="5">
        <f>COUNTIFS(Orders!E:E,A57,Orders!F:F,"Cake")</f>
        <v/>
      </c>
      <c r="E57" t="n">
        <v>4</v>
      </c>
      <c r="F57" s="5">
        <f>COUNTIFS(Orders!E:E,A57,Orders!F:F,"Cupcakes")</f>
        <v/>
      </c>
      <c r="G57" t="n">
        <v>1</v>
      </c>
      <c r="H57" s="5">
        <f>COUNTIFS(Orders!E:E,A57,Orders!F:F,"Bomboloni")</f>
        <v/>
      </c>
      <c r="I57" t="inlineStr">
        <is>
          <t>N</t>
        </is>
      </c>
      <c r="K57" s="5">
        <f>IFERROR((D57/C57+F57/E57+H57/G57)/3,0)</f>
        <v/>
      </c>
    </row>
    <row r="58">
      <c r="A58" s="8" t="n">
        <v>46222</v>
      </c>
      <c r="B58" s="5">
        <f>TEXT(A58,"ddd")</f>
        <v/>
      </c>
      <c r="C58" t="n">
        <v>5</v>
      </c>
      <c r="D58" s="5">
        <f>COUNTIFS(Orders!E:E,A58,Orders!F:F,"Cake")</f>
        <v/>
      </c>
      <c r="E58" t="n">
        <v>4</v>
      </c>
      <c r="F58" s="5">
        <f>COUNTIFS(Orders!E:E,A58,Orders!F:F,"Cupcakes")</f>
        <v/>
      </c>
      <c r="G58" t="n">
        <v>1</v>
      </c>
      <c r="H58" s="5">
        <f>COUNTIFS(Orders!E:E,A58,Orders!F:F,"Bomboloni")</f>
        <v/>
      </c>
      <c r="I58" t="inlineStr">
        <is>
          <t>N</t>
        </is>
      </c>
      <c r="K58" s="5">
        <f>IFERROR((D58/C58+F58/E58+H58/G58)/3,0)</f>
        <v/>
      </c>
    </row>
    <row r="59">
      <c r="A59" s="8" t="n">
        <v>46223</v>
      </c>
      <c r="B59" s="5">
        <f>TEXT(A59,"ddd")</f>
        <v/>
      </c>
      <c r="C59" t="n">
        <v>3</v>
      </c>
      <c r="D59" s="5">
        <f>COUNTIFS(Orders!E:E,A59,Orders!F:F,"Cake")</f>
        <v/>
      </c>
      <c r="E59" t="n">
        <v>4</v>
      </c>
      <c r="F59" s="5">
        <f>COUNTIFS(Orders!E:E,A59,Orders!F:F,"Cupcakes")</f>
        <v/>
      </c>
      <c r="G59" t="n">
        <v>1</v>
      </c>
      <c r="H59" s="5">
        <f>COUNTIFS(Orders!E:E,A59,Orders!F:F,"Bomboloni")</f>
        <v/>
      </c>
      <c r="I59" t="inlineStr">
        <is>
          <t>N</t>
        </is>
      </c>
      <c r="K59" s="5">
        <f>IFERROR((D59/C59+F59/E59+H59/G59)/3,0)</f>
        <v/>
      </c>
    </row>
    <row r="60">
      <c r="A60" s="8" t="n">
        <v>46224</v>
      </c>
      <c r="B60" s="5">
        <f>TEXT(A60,"ddd")</f>
        <v/>
      </c>
      <c r="C60" t="n">
        <v>3</v>
      </c>
      <c r="D60" s="5">
        <f>COUNTIFS(Orders!E:E,A60,Orders!F:F,"Cake")</f>
        <v/>
      </c>
      <c r="E60" t="n">
        <v>4</v>
      </c>
      <c r="F60" s="5">
        <f>COUNTIFS(Orders!E:E,A60,Orders!F:F,"Cupcakes")</f>
        <v/>
      </c>
      <c r="G60" t="n">
        <v>1</v>
      </c>
      <c r="H60" s="5">
        <f>COUNTIFS(Orders!E:E,A60,Orders!F:F,"Bomboloni")</f>
        <v/>
      </c>
      <c r="I60" t="inlineStr">
        <is>
          <t>N</t>
        </is>
      </c>
      <c r="K60" s="5">
        <f>IFERROR((D60/C60+F60/E60+H60/G60)/3,0)</f>
        <v/>
      </c>
    </row>
    <row r="61">
      <c r="A61" s="8" t="n">
        <v>46225</v>
      </c>
      <c r="B61" s="5">
        <f>TEXT(A61,"ddd")</f>
        <v/>
      </c>
      <c r="C61" t="n">
        <v>3</v>
      </c>
      <c r="D61" s="5">
        <f>COUNTIFS(Orders!E:E,A61,Orders!F:F,"Cake")</f>
        <v/>
      </c>
      <c r="E61" t="n">
        <v>4</v>
      </c>
      <c r="F61" s="5">
        <f>COUNTIFS(Orders!E:E,A61,Orders!F:F,"Cupcakes")</f>
        <v/>
      </c>
      <c r="G61" t="n">
        <v>1</v>
      </c>
      <c r="H61" s="5">
        <f>COUNTIFS(Orders!E:E,A61,Orders!F:F,"Bomboloni")</f>
        <v/>
      </c>
      <c r="I61" t="inlineStr">
        <is>
          <t>N</t>
        </is>
      </c>
      <c r="K61" s="5">
        <f>IFERROR((D61/C61+F61/E61+H61/G61)/3,0)</f>
        <v/>
      </c>
    </row>
  </sheetData>
  <dataValidations count="1">
    <dataValidation sqref="I2:I200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2" customWidth="1" min="3" max="3"/>
    <col width="14" customWidth="1" min="4" max="4"/>
    <col width="36" customWidth="1" min="5" max="5"/>
    <col width="16" customWidth="1" min="6" max="6"/>
  </cols>
  <sheetData>
    <row r="1" ht="36" customHeight="1">
      <c r="A1" s="4" t="inlineStr">
        <is>
          <t>Customer</t>
        </is>
      </c>
      <c r="B1" s="4" t="inlineStr">
        <is>
          <t>Occasion</t>
        </is>
      </c>
      <c r="C1" s="4" t="inlineStr">
        <is>
          <t>For whom</t>
        </is>
      </c>
      <c r="D1" s="4" t="inlineStr">
        <is>
          <t>Next date</t>
        </is>
      </c>
      <c r="E1" s="4" t="inlineStr">
        <is>
          <t>Notes</t>
        </is>
      </c>
      <c r="F1" s="4" t="inlineStr">
        <is>
          <t>First known year</t>
        </is>
      </c>
    </row>
    <row r="2">
      <c r="A2" s="5">
        <f>QUERY({Occasions!C2:I,ARRAYFORMULA(IF(Occasions!E2:E="",,DATE(YEAR(TODAY())+IF(DATE(YEAR(TODAY()),VALUE(LEFT(Occasions!E2:E,2)),VALUE(RIGHT(Occasions!E2:E,2)))&lt;TODAY(),1,0),VALUE(LEFT(Occasions!E2:E,2)),VALUE(RIGHT(Occasions!E2:E,2)))))},"select Col1, Col2, Col5, Col8, Col6, Col4 where Col8 is not null and Col8 &lt;= date '"&amp;TEXT(TODAY()+30,"yyyy-mm-dd")&amp;"' and Col7 = 'Y' order by Col8 asc label Col1 'Customer', Col2 'Occasion', Col5 'For whom', Col8 'Next date', Col6 'Notes', Col4 'First known year'",0)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2026-05-24T15:22:24Z</dcterms:created>
  <dcterms:modified xmlns:dcterms="http://purl.org/dc/terms/" xmlns:xsi="http://www.w3.org/2001/XMLSchema-instance" xsi:type="dcterms:W3CDTF">2026-05-24T15:22:24Z</dcterms:modified>
</cp:coreProperties>
</file>